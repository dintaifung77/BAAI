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mc:AlternateContent xmlns:mc="http://schemas.openxmlformats.org/markup-compatibility/2006">
    <mc:Choice Requires="x15">
      <x15ac:absPath xmlns:x15ac="http://schemas.microsoft.com/office/spreadsheetml/2010/11/ac" url="/Users/homebase/Desktop/"/>
    </mc:Choice>
  </mc:AlternateContent>
  <xr:revisionPtr revIDLastSave="0" documentId="13_ncr:1_{8D386290-861C-1D4B-A63D-681262EEFF1B}" xr6:coauthVersionLast="47" xr6:coauthVersionMax="47" xr10:uidLastSave="{00000000-0000-0000-0000-000000000000}"/>
  <bookViews>
    <workbookView xWindow="0" yWindow="0" windowWidth="28800" windowHeight="18000" activeTab="1" xr2:uid="{00000000-000D-0000-FFFF-FFFF00000000}"/>
  </bookViews>
  <sheets>
    <sheet name="Raw Data" sheetId="1" r:id="rId1"/>
    <sheet name="Raw Data (2)" sheetId="3" r:id="rId2"/>
    <sheet name="Correlation Table" sheetId="2"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2" i="3" l="1"/>
  <c r="W2" i="3"/>
  <c r="AA3" i="3"/>
  <c r="AA4" i="3"/>
  <c r="AA5" i="3"/>
  <c r="AA6" i="3"/>
  <c r="AA7" i="3"/>
  <c r="AA8" i="3"/>
  <c r="AA9" i="3"/>
  <c r="AA10" i="3"/>
  <c r="AA11" i="3"/>
  <c r="AA12" i="3"/>
  <c r="AA13" i="3"/>
  <c r="AA14" i="3"/>
  <c r="AA15" i="3"/>
  <c r="AA16" i="3"/>
  <c r="AA17" i="3"/>
  <c r="AA18" i="3"/>
  <c r="AA19" i="3"/>
  <c r="AA20" i="3"/>
  <c r="AA21" i="3"/>
  <c r="AA22" i="3"/>
  <c r="AA23" i="3"/>
  <c r="AA24" i="3"/>
  <c r="AA25" i="3"/>
  <c r="AA26" i="3"/>
  <c r="AA27" i="3"/>
  <c r="AA28" i="3"/>
  <c r="AA29" i="3"/>
  <c r="AA30" i="3"/>
  <c r="AA31" i="3"/>
  <c r="AA32" i="3"/>
  <c r="AA33" i="3"/>
  <c r="AA34" i="3"/>
  <c r="AA35" i="3"/>
  <c r="AA36" i="3"/>
  <c r="AA37" i="3"/>
  <c r="AA38" i="3"/>
  <c r="AA39" i="3"/>
  <c r="AA40" i="3"/>
  <c r="AA41" i="3"/>
  <c r="AA42" i="3"/>
  <c r="AA43" i="3"/>
  <c r="AA44" i="3"/>
  <c r="AA45" i="3"/>
  <c r="AA46" i="3"/>
  <c r="AA47" i="3"/>
  <c r="AA48" i="3"/>
  <c r="AA49" i="3"/>
  <c r="AA50" i="3"/>
  <c r="AA51" i="3"/>
  <c r="AA52" i="3"/>
  <c r="AA53" i="3"/>
  <c r="AA54" i="3"/>
  <c r="AA55" i="3"/>
  <c r="AA56" i="3"/>
  <c r="AA57" i="3"/>
  <c r="AA58" i="3"/>
  <c r="AA59" i="3"/>
  <c r="AA60" i="3"/>
  <c r="AA61" i="3"/>
  <c r="AA62" i="3"/>
  <c r="AA63" i="3"/>
  <c r="AA64" i="3"/>
  <c r="AA65" i="3"/>
  <c r="AA66" i="3"/>
  <c r="AA67" i="3"/>
  <c r="AA68" i="3"/>
  <c r="AA69" i="3"/>
  <c r="AA70" i="3"/>
  <c r="AA71" i="3"/>
  <c r="AA72" i="3"/>
  <c r="AA73" i="3"/>
  <c r="AA74" i="3"/>
  <c r="T2" i="3"/>
  <c r="AC5" i="3"/>
  <c r="AC3" i="3"/>
  <c r="AC2" i="3"/>
  <c r="T3" i="3"/>
  <c r="U3" i="3"/>
  <c r="V3" i="3"/>
  <c r="W3" i="3"/>
  <c r="X3" i="3"/>
  <c r="Y3" i="3"/>
  <c r="Z3" i="3"/>
  <c r="AB3" i="3"/>
  <c r="AD3" i="3"/>
  <c r="T4" i="3"/>
  <c r="U4" i="3"/>
  <c r="V4" i="3"/>
  <c r="W4" i="3"/>
  <c r="X4" i="3"/>
  <c r="Y4" i="3"/>
  <c r="Z4" i="3"/>
  <c r="AB4" i="3"/>
  <c r="AC4" i="3"/>
  <c r="AD4" i="3"/>
  <c r="T5" i="3"/>
  <c r="U5" i="3"/>
  <c r="V5" i="3"/>
  <c r="W5" i="3"/>
  <c r="X5" i="3"/>
  <c r="Y5" i="3"/>
  <c r="Z5" i="3"/>
  <c r="AB5" i="3"/>
  <c r="AD5" i="3"/>
  <c r="T6" i="3"/>
  <c r="U6" i="3"/>
  <c r="V6" i="3"/>
  <c r="W6" i="3"/>
  <c r="X6" i="3"/>
  <c r="Y6" i="3"/>
  <c r="Z6" i="3"/>
  <c r="AB6" i="3"/>
  <c r="AC6" i="3"/>
  <c r="AD6" i="3"/>
  <c r="T7" i="3"/>
  <c r="U7" i="3"/>
  <c r="V7" i="3"/>
  <c r="W7" i="3"/>
  <c r="X7" i="3"/>
  <c r="Y7" i="3"/>
  <c r="Z7" i="3"/>
  <c r="AB7" i="3"/>
  <c r="AC7" i="3"/>
  <c r="AD7" i="3"/>
  <c r="T8" i="3"/>
  <c r="U8" i="3"/>
  <c r="V8" i="3"/>
  <c r="W8" i="3"/>
  <c r="X8" i="3"/>
  <c r="Y8" i="3"/>
  <c r="Z8" i="3"/>
  <c r="AB8" i="3"/>
  <c r="AC8" i="3"/>
  <c r="AD8" i="3"/>
  <c r="T9" i="3"/>
  <c r="U9" i="3"/>
  <c r="V9" i="3"/>
  <c r="W9" i="3"/>
  <c r="X9" i="3"/>
  <c r="Y9" i="3"/>
  <c r="Z9" i="3"/>
  <c r="AB9" i="3"/>
  <c r="AC9" i="3"/>
  <c r="AD9" i="3"/>
  <c r="T10" i="3"/>
  <c r="U10" i="3"/>
  <c r="V10" i="3"/>
  <c r="W10" i="3"/>
  <c r="X10" i="3"/>
  <c r="Y10" i="3"/>
  <c r="Z10" i="3"/>
  <c r="AB10" i="3"/>
  <c r="AC10" i="3"/>
  <c r="AD10" i="3"/>
  <c r="T11" i="3"/>
  <c r="U11" i="3"/>
  <c r="V11" i="3"/>
  <c r="W11" i="3"/>
  <c r="X11" i="3"/>
  <c r="Y11" i="3"/>
  <c r="Z11" i="3"/>
  <c r="AB11" i="3"/>
  <c r="AC11" i="3"/>
  <c r="AD11" i="3"/>
  <c r="T12" i="3"/>
  <c r="U12" i="3"/>
  <c r="V12" i="3"/>
  <c r="W12" i="3"/>
  <c r="X12" i="3"/>
  <c r="Y12" i="3"/>
  <c r="Z12" i="3"/>
  <c r="AB12" i="3"/>
  <c r="AC12" i="3"/>
  <c r="AD12" i="3"/>
  <c r="T13" i="3"/>
  <c r="U13" i="3"/>
  <c r="V13" i="3"/>
  <c r="W13" i="3"/>
  <c r="X13" i="3"/>
  <c r="Y13" i="3"/>
  <c r="Z13" i="3"/>
  <c r="AB13" i="3"/>
  <c r="AC13" i="3"/>
  <c r="AD13" i="3"/>
  <c r="T14" i="3"/>
  <c r="U14" i="3"/>
  <c r="V14" i="3"/>
  <c r="W14" i="3"/>
  <c r="X14" i="3"/>
  <c r="Y14" i="3"/>
  <c r="Z14" i="3"/>
  <c r="AB14" i="3"/>
  <c r="AC14" i="3"/>
  <c r="AD14" i="3"/>
  <c r="T15" i="3"/>
  <c r="U15" i="3"/>
  <c r="V15" i="3"/>
  <c r="W15" i="3"/>
  <c r="X15" i="3"/>
  <c r="Y15" i="3"/>
  <c r="Z15" i="3"/>
  <c r="AB15" i="3"/>
  <c r="AC15" i="3"/>
  <c r="AD15" i="3"/>
  <c r="T16" i="3"/>
  <c r="U16" i="3"/>
  <c r="V16" i="3"/>
  <c r="W16" i="3"/>
  <c r="X16" i="3"/>
  <c r="Y16" i="3"/>
  <c r="Z16" i="3"/>
  <c r="AB16" i="3"/>
  <c r="AC16" i="3"/>
  <c r="AD16" i="3"/>
  <c r="T17" i="3"/>
  <c r="U17" i="3"/>
  <c r="V17" i="3"/>
  <c r="W17" i="3"/>
  <c r="X17" i="3"/>
  <c r="Y17" i="3"/>
  <c r="Z17" i="3"/>
  <c r="AB17" i="3"/>
  <c r="AC17" i="3"/>
  <c r="AD17" i="3"/>
  <c r="T18" i="3"/>
  <c r="U18" i="3"/>
  <c r="V18" i="3"/>
  <c r="W18" i="3"/>
  <c r="X18" i="3"/>
  <c r="Y18" i="3"/>
  <c r="Z18" i="3"/>
  <c r="AB18" i="3"/>
  <c r="AC18" i="3"/>
  <c r="AD18" i="3"/>
  <c r="T19" i="3"/>
  <c r="U19" i="3"/>
  <c r="V19" i="3"/>
  <c r="W19" i="3"/>
  <c r="X19" i="3"/>
  <c r="Y19" i="3"/>
  <c r="Z19" i="3"/>
  <c r="AB19" i="3"/>
  <c r="AC19" i="3"/>
  <c r="AD19" i="3"/>
  <c r="T20" i="3"/>
  <c r="U20" i="3"/>
  <c r="V20" i="3"/>
  <c r="W20" i="3"/>
  <c r="X20" i="3"/>
  <c r="Y20" i="3"/>
  <c r="Z20" i="3"/>
  <c r="AB20" i="3"/>
  <c r="AC20" i="3"/>
  <c r="AD20" i="3"/>
  <c r="T21" i="3"/>
  <c r="U21" i="3"/>
  <c r="V21" i="3"/>
  <c r="W21" i="3"/>
  <c r="X21" i="3"/>
  <c r="Y21" i="3"/>
  <c r="Z21" i="3"/>
  <c r="AB21" i="3"/>
  <c r="AC21" i="3"/>
  <c r="AD21" i="3"/>
  <c r="T22" i="3"/>
  <c r="U22" i="3"/>
  <c r="V22" i="3"/>
  <c r="W22" i="3"/>
  <c r="X22" i="3"/>
  <c r="Y22" i="3"/>
  <c r="Z22" i="3"/>
  <c r="AB22" i="3"/>
  <c r="AC22" i="3"/>
  <c r="AD22" i="3"/>
  <c r="T23" i="3"/>
  <c r="U23" i="3"/>
  <c r="V23" i="3"/>
  <c r="W23" i="3"/>
  <c r="X23" i="3"/>
  <c r="Y23" i="3"/>
  <c r="Z23" i="3"/>
  <c r="AB23" i="3"/>
  <c r="AC23" i="3"/>
  <c r="AD23" i="3"/>
  <c r="T24" i="3"/>
  <c r="U24" i="3"/>
  <c r="V24" i="3"/>
  <c r="W24" i="3"/>
  <c r="X24" i="3"/>
  <c r="Y24" i="3"/>
  <c r="Z24" i="3"/>
  <c r="AB24" i="3"/>
  <c r="AC24" i="3"/>
  <c r="AD24" i="3"/>
  <c r="T25" i="3"/>
  <c r="U25" i="3"/>
  <c r="V25" i="3"/>
  <c r="W25" i="3"/>
  <c r="X25" i="3"/>
  <c r="Y25" i="3"/>
  <c r="Z25" i="3"/>
  <c r="AB25" i="3"/>
  <c r="AC25" i="3"/>
  <c r="AD25" i="3"/>
  <c r="T26" i="3"/>
  <c r="U26" i="3"/>
  <c r="V26" i="3"/>
  <c r="W26" i="3"/>
  <c r="X26" i="3"/>
  <c r="Y26" i="3"/>
  <c r="Z26" i="3"/>
  <c r="AB26" i="3"/>
  <c r="AC26" i="3"/>
  <c r="AD26" i="3"/>
  <c r="T27" i="3"/>
  <c r="U27" i="3"/>
  <c r="V27" i="3"/>
  <c r="W27" i="3"/>
  <c r="X27" i="3"/>
  <c r="Y27" i="3"/>
  <c r="Z27" i="3"/>
  <c r="AB27" i="3"/>
  <c r="AC27" i="3"/>
  <c r="AD27" i="3"/>
  <c r="T28" i="3"/>
  <c r="U28" i="3"/>
  <c r="V28" i="3"/>
  <c r="W28" i="3"/>
  <c r="X28" i="3"/>
  <c r="Y28" i="3"/>
  <c r="Z28" i="3"/>
  <c r="AB28" i="3"/>
  <c r="AC28" i="3"/>
  <c r="AD28" i="3"/>
  <c r="T29" i="3"/>
  <c r="U29" i="3"/>
  <c r="V29" i="3"/>
  <c r="W29" i="3"/>
  <c r="X29" i="3"/>
  <c r="Y29" i="3"/>
  <c r="Z29" i="3"/>
  <c r="AB29" i="3"/>
  <c r="AC29" i="3"/>
  <c r="AD29" i="3"/>
  <c r="T30" i="3"/>
  <c r="U30" i="3"/>
  <c r="V30" i="3"/>
  <c r="W30" i="3"/>
  <c r="X30" i="3"/>
  <c r="Y30" i="3"/>
  <c r="Z30" i="3"/>
  <c r="AB30" i="3"/>
  <c r="AC30" i="3"/>
  <c r="AD30" i="3"/>
  <c r="T31" i="3"/>
  <c r="U31" i="3"/>
  <c r="V31" i="3"/>
  <c r="W31" i="3"/>
  <c r="X31" i="3"/>
  <c r="Y31" i="3"/>
  <c r="Z31" i="3"/>
  <c r="AB31" i="3"/>
  <c r="AC31" i="3"/>
  <c r="AD31" i="3"/>
  <c r="T32" i="3"/>
  <c r="U32" i="3"/>
  <c r="V32" i="3"/>
  <c r="W32" i="3"/>
  <c r="X32" i="3"/>
  <c r="Y32" i="3"/>
  <c r="Z32" i="3"/>
  <c r="AB32" i="3"/>
  <c r="AC32" i="3"/>
  <c r="AD32" i="3"/>
  <c r="T33" i="3"/>
  <c r="U33" i="3"/>
  <c r="V33" i="3"/>
  <c r="W33" i="3"/>
  <c r="X33" i="3"/>
  <c r="Y33" i="3"/>
  <c r="Z33" i="3"/>
  <c r="AB33" i="3"/>
  <c r="AC33" i="3"/>
  <c r="AD33" i="3"/>
  <c r="T34" i="3"/>
  <c r="U34" i="3"/>
  <c r="V34" i="3"/>
  <c r="W34" i="3"/>
  <c r="X34" i="3"/>
  <c r="Y34" i="3"/>
  <c r="Z34" i="3"/>
  <c r="AB34" i="3"/>
  <c r="AC34" i="3"/>
  <c r="AD34" i="3"/>
  <c r="T35" i="3"/>
  <c r="U35" i="3"/>
  <c r="V35" i="3"/>
  <c r="W35" i="3"/>
  <c r="X35" i="3"/>
  <c r="Y35" i="3"/>
  <c r="Z35" i="3"/>
  <c r="AB35" i="3"/>
  <c r="AC35" i="3"/>
  <c r="AD35" i="3"/>
  <c r="T36" i="3"/>
  <c r="U36" i="3"/>
  <c r="V36" i="3"/>
  <c r="W36" i="3"/>
  <c r="X36" i="3"/>
  <c r="Y36" i="3"/>
  <c r="Z36" i="3"/>
  <c r="AB36" i="3"/>
  <c r="AC36" i="3"/>
  <c r="AD36" i="3"/>
  <c r="T37" i="3"/>
  <c r="U37" i="3"/>
  <c r="V37" i="3"/>
  <c r="W37" i="3"/>
  <c r="X37" i="3"/>
  <c r="Y37" i="3"/>
  <c r="Z37" i="3"/>
  <c r="AB37" i="3"/>
  <c r="AC37" i="3"/>
  <c r="AD37" i="3"/>
  <c r="T38" i="3"/>
  <c r="U38" i="3"/>
  <c r="V38" i="3"/>
  <c r="W38" i="3"/>
  <c r="X38" i="3"/>
  <c r="Y38" i="3"/>
  <c r="Z38" i="3"/>
  <c r="AB38" i="3"/>
  <c r="AC38" i="3"/>
  <c r="AD38" i="3"/>
  <c r="T39" i="3"/>
  <c r="U39" i="3"/>
  <c r="V39" i="3"/>
  <c r="W39" i="3"/>
  <c r="X39" i="3"/>
  <c r="Y39" i="3"/>
  <c r="Z39" i="3"/>
  <c r="AB39" i="3"/>
  <c r="AC39" i="3"/>
  <c r="AD39" i="3"/>
  <c r="T40" i="3"/>
  <c r="U40" i="3"/>
  <c r="V40" i="3"/>
  <c r="W40" i="3"/>
  <c r="X40" i="3"/>
  <c r="Y40" i="3"/>
  <c r="Z40" i="3"/>
  <c r="AB40" i="3"/>
  <c r="AC40" i="3"/>
  <c r="AD40" i="3"/>
  <c r="T41" i="3"/>
  <c r="U41" i="3"/>
  <c r="V41" i="3"/>
  <c r="W41" i="3"/>
  <c r="X41" i="3"/>
  <c r="Y41" i="3"/>
  <c r="Z41" i="3"/>
  <c r="AB41" i="3"/>
  <c r="AC41" i="3"/>
  <c r="AD41" i="3"/>
  <c r="T42" i="3"/>
  <c r="U42" i="3"/>
  <c r="V42" i="3"/>
  <c r="W42" i="3"/>
  <c r="X42" i="3"/>
  <c r="Y42" i="3"/>
  <c r="Z42" i="3"/>
  <c r="AB42" i="3"/>
  <c r="AC42" i="3"/>
  <c r="AD42" i="3"/>
  <c r="T43" i="3"/>
  <c r="U43" i="3"/>
  <c r="V43" i="3"/>
  <c r="W43" i="3"/>
  <c r="X43" i="3"/>
  <c r="Y43" i="3"/>
  <c r="Z43" i="3"/>
  <c r="AB43" i="3"/>
  <c r="AC43" i="3"/>
  <c r="AD43" i="3"/>
  <c r="T44" i="3"/>
  <c r="U44" i="3"/>
  <c r="V44" i="3"/>
  <c r="W44" i="3"/>
  <c r="X44" i="3"/>
  <c r="Y44" i="3"/>
  <c r="Z44" i="3"/>
  <c r="AB44" i="3"/>
  <c r="AC44" i="3"/>
  <c r="AD44" i="3"/>
  <c r="T45" i="3"/>
  <c r="U45" i="3"/>
  <c r="V45" i="3"/>
  <c r="W45" i="3"/>
  <c r="X45" i="3"/>
  <c r="Y45" i="3"/>
  <c r="Z45" i="3"/>
  <c r="AB45" i="3"/>
  <c r="AC45" i="3"/>
  <c r="AD45" i="3"/>
  <c r="T46" i="3"/>
  <c r="U46" i="3"/>
  <c r="V46" i="3"/>
  <c r="W46" i="3"/>
  <c r="X46" i="3"/>
  <c r="Y46" i="3"/>
  <c r="Z46" i="3"/>
  <c r="AB46" i="3"/>
  <c r="AC46" i="3"/>
  <c r="AD46" i="3"/>
  <c r="T47" i="3"/>
  <c r="U47" i="3"/>
  <c r="V47" i="3"/>
  <c r="W47" i="3"/>
  <c r="X47" i="3"/>
  <c r="Y47" i="3"/>
  <c r="Z47" i="3"/>
  <c r="AB47" i="3"/>
  <c r="AC47" i="3"/>
  <c r="AD47" i="3"/>
  <c r="T48" i="3"/>
  <c r="U48" i="3"/>
  <c r="V48" i="3"/>
  <c r="W48" i="3"/>
  <c r="X48" i="3"/>
  <c r="Y48" i="3"/>
  <c r="Z48" i="3"/>
  <c r="AB48" i="3"/>
  <c r="AC48" i="3"/>
  <c r="AD48" i="3"/>
  <c r="T49" i="3"/>
  <c r="U49" i="3"/>
  <c r="V49" i="3"/>
  <c r="W49" i="3"/>
  <c r="X49" i="3"/>
  <c r="Y49" i="3"/>
  <c r="Z49" i="3"/>
  <c r="AB49" i="3"/>
  <c r="AC49" i="3"/>
  <c r="AD49" i="3"/>
  <c r="T50" i="3"/>
  <c r="U50" i="3"/>
  <c r="V50" i="3"/>
  <c r="W50" i="3"/>
  <c r="X50" i="3"/>
  <c r="Y50" i="3"/>
  <c r="Z50" i="3"/>
  <c r="AB50" i="3"/>
  <c r="AC50" i="3"/>
  <c r="AD50" i="3"/>
  <c r="T51" i="3"/>
  <c r="U51" i="3"/>
  <c r="V51" i="3"/>
  <c r="W51" i="3"/>
  <c r="X51" i="3"/>
  <c r="Y51" i="3"/>
  <c r="Z51" i="3"/>
  <c r="AB51" i="3"/>
  <c r="AC51" i="3"/>
  <c r="AD51" i="3"/>
  <c r="T52" i="3"/>
  <c r="U52" i="3"/>
  <c r="V52" i="3"/>
  <c r="W52" i="3"/>
  <c r="X52" i="3"/>
  <c r="Y52" i="3"/>
  <c r="Z52" i="3"/>
  <c r="AB52" i="3"/>
  <c r="AC52" i="3"/>
  <c r="AD52" i="3"/>
  <c r="T53" i="3"/>
  <c r="U53" i="3"/>
  <c r="V53" i="3"/>
  <c r="W53" i="3"/>
  <c r="X53" i="3"/>
  <c r="Y53" i="3"/>
  <c r="Z53" i="3"/>
  <c r="AB53" i="3"/>
  <c r="AC53" i="3"/>
  <c r="AD53" i="3"/>
  <c r="T54" i="3"/>
  <c r="U54" i="3"/>
  <c r="V54" i="3"/>
  <c r="W54" i="3"/>
  <c r="X54" i="3"/>
  <c r="Y54" i="3"/>
  <c r="Z54" i="3"/>
  <c r="AB54" i="3"/>
  <c r="AC54" i="3"/>
  <c r="AD54" i="3"/>
  <c r="T55" i="3"/>
  <c r="U55" i="3"/>
  <c r="V55" i="3"/>
  <c r="W55" i="3"/>
  <c r="X55" i="3"/>
  <c r="Y55" i="3"/>
  <c r="Z55" i="3"/>
  <c r="AB55" i="3"/>
  <c r="AC55" i="3"/>
  <c r="AD55" i="3"/>
  <c r="T56" i="3"/>
  <c r="U56" i="3"/>
  <c r="V56" i="3"/>
  <c r="W56" i="3"/>
  <c r="X56" i="3"/>
  <c r="Y56" i="3"/>
  <c r="Z56" i="3"/>
  <c r="AB56" i="3"/>
  <c r="AC56" i="3"/>
  <c r="AD56" i="3"/>
  <c r="T57" i="3"/>
  <c r="U57" i="3"/>
  <c r="V57" i="3"/>
  <c r="W57" i="3"/>
  <c r="X57" i="3"/>
  <c r="Y57" i="3"/>
  <c r="Z57" i="3"/>
  <c r="AB57" i="3"/>
  <c r="AC57" i="3"/>
  <c r="AD57" i="3"/>
  <c r="T58" i="3"/>
  <c r="U58" i="3"/>
  <c r="V58" i="3"/>
  <c r="W58" i="3"/>
  <c r="X58" i="3"/>
  <c r="Y58" i="3"/>
  <c r="Z58" i="3"/>
  <c r="AB58" i="3"/>
  <c r="AC58" i="3"/>
  <c r="AD58" i="3"/>
  <c r="T59" i="3"/>
  <c r="U59" i="3"/>
  <c r="V59" i="3"/>
  <c r="W59" i="3"/>
  <c r="X59" i="3"/>
  <c r="Y59" i="3"/>
  <c r="Z59" i="3"/>
  <c r="AB59" i="3"/>
  <c r="AC59" i="3"/>
  <c r="AD59" i="3"/>
  <c r="T60" i="3"/>
  <c r="U60" i="3"/>
  <c r="V60" i="3"/>
  <c r="W60" i="3"/>
  <c r="X60" i="3"/>
  <c r="Y60" i="3"/>
  <c r="Z60" i="3"/>
  <c r="AB60" i="3"/>
  <c r="AC60" i="3"/>
  <c r="AD60" i="3"/>
  <c r="T61" i="3"/>
  <c r="U61" i="3"/>
  <c r="V61" i="3"/>
  <c r="W61" i="3"/>
  <c r="X61" i="3"/>
  <c r="Y61" i="3"/>
  <c r="Z61" i="3"/>
  <c r="AB61" i="3"/>
  <c r="AC61" i="3"/>
  <c r="AD61" i="3"/>
  <c r="T62" i="3"/>
  <c r="U62" i="3"/>
  <c r="V62" i="3"/>
  <c r="W62" i="3"/>
  <c r="X62" i="3"/>
  <c r="Y62" i="3"/>
  <c r="Z62" i="3"/>
  <c r="AB62" i="3"/>
  <c r="AC62" i="3"/>
  <c r="AD62" i="3"/>
  <c r="T63" i="3"/>
  <c r="U63" i="3"/>
  <c r="V63" i="3"/>
  <c r="W63" i="3"/>
  <c r="X63" i="3"/>
  <c r="Y63" i="3"/>
  <c r="Z63" i="3"/>
  <c r="AB63" i="3"/>
  <c r="AC63" i="3"/>
  <c r="AD63" i="3"/>
  <c r="T64" i="3"/>
  <c r="U64" i="3"/>
  <c r="V64" i="3"/>
  <c r="W64" i="3"/>
  <c r="X64" i="3"/>
  <c r="Y64" i="3"/>
  <c r="Z64" i="3"/>
  <c r="AB64" i="3"/>
  <c r="AC64" i="3"/>
  <c r="AD64" i="3"/>
  <c r="T65" i="3"/>
  <c r="U65" i="3"/>
  <c r="V65" i="3"/>
  <c r="W65" i="3"/>
  <c r="X65" i="3"/>
  <c r="Y65" i="3"/>
  <c r="Z65" i="3"/>
  <c r="AB65" i="3"/>
  <c r="AC65" i="3"/>
  <c r="AD65" i="3"/>
  <c r="T66" i="3"/>
  <c r="U66" i="3"/>
  <c r="V66" i="3"/>
  <c r="W66" i="3"/>
  <c r="X66" i="3"/>
  <c r="Y66" i="3"/>
  <c r="Z66" i="3"/>
  <c r="AB66" i="3"/>
  <c r="AC66" i="3"/>
  <c r="AD66" i="3"/>
  <c r="T67" i="3"/>
  <c r="U67" i="3"/>
  <c r="V67" i="3"/>
  <c r="W67" i="3"/>
  <c r="X67" i="3"/>
  <c r="Y67" i="3"/>
  <c r="Z67" i="3"/>
  <c r="AB67" i="3"/>
  <c r="AC67" i="3"/>
  <c r="AD67" i="3"/>
  <c r="T68" i="3"/>
  <c r="U68" i="3"/>
  <c r="V68" i="3"/>
  <c r="W68" i="3"/>
  <c r="X68" i="3"/>
  <c r="Y68" i="3"/>
  <c r="Z68" i="3"/>
  <c r="AB68" i="3"/>
  <c r="AC68" i="3"/>
  <c r="AD68" i="3"/>
  <c r="T69" i="3"/>
  <c r="U69" i="3"/>
  <c r="V69" i="3"/>
  <c r="W69" i="3"/>
  <c r="X69" i="3"/>
  <c r="Y69" i="3"/>
  <c r="Z69" i="3"/>
  <c r="AB69" i="3"/>
  <c r="AC69" i="3"/>
  <c r="AD69" i="3"/>
  <c r="T70" i="3"/>
  <c r="U70" i="3"/>
  <c r="V70" i="3"/>
  <c r="W70" i="3"/>
  <c r="X70" i="3"/>
  <c r="Y70" i="3"/>
  <c r="Z70" i="3"/>
  <c r="AB70" i="3"/>
  <c r="AC70" i="3"/>
  <c r="AD70" i="3"/>
  <c r="T71" i="3"/>
  <c r="U71" i="3"/>
  <c r="V71" i="3"/>
  <c r="W71" i="3"/>
  <c r="X71" i="3"/>
  <c r="Y71" i="3"/>
  <c r="Z71" i="3"/>
  <c r="AB71" i="3"/>
  <c r="AC71" i="3"/>
  <c r="AD71" i="3"/>
  <c r="T72" i="3"/>
  <c r="U72" i="3"/>
  <c r="V72" i="3"/>
  <c r="W72" i="3"/>
  <c r="X72" i="3"/>
  <c r="Y72" i="3"/>
  <c r="Z72" i="3"/>
  <c r="AB72" i="3"/>
  <c r="AC72" i="3"/>
  <c r="AD72" i="3"/>
  <c r="T73" i="3"/>
  <c r="U73" i="3"/>
  <c r="V73" i="3"/>
  <c r="W73" i="3"/>
  <c r="X73" i="3"/>
  <c r="Y73" i="3"/>
  <c r="Z73" i="3"/>
  <c r="AB73" i="3"/>
  <c r="AC73" i="3"/>
  <c r="AD73" i="3"/>
  <c r="T74" i="3"/>
  <c r="U74" i="3"/>
  <c r="V74" i="3"/>
  <c r="W74" i="3"/>
  <c r="X74" i="3"/>
  <c r="Y74" i="3"/>
  <c r="Z74" i="3"/>
  <c r="AB74" i="3"/>
  <c r="AC74" i="3"/>
  <c r="AD74" i="3"/>
  <c r="V2" i="3"/>
  <c r="Z2" i="3"/>
  <c r="AB2" i="3"/>
  <c r="AD2" i="3"/>
  <c r="AE2" i="3"/>
  <c r="AF2" i="3"/>
  <c r="AG2" i="3"/>
  <c r="Y2" i="3"/>
  <c r="X2" i="3"/>
  <c r="U2" i="3"/>
  <c r="S2" i="3"/>
  <c r="S3" i="3"/>
  <c r="S4" i="3"/>
  <c r="S5" i="3"/>
  <c r="S6" i="3"/>
  <c r="S7" i="3"/>
  <c r="S8" i="3"/>
  <c r="S9" i="3"/>
  <c r="S10" i="3"/>
  <c r="S11" i="3"/>
  <c r="S12" i="3"/>
  <c r="S13" i="3"/>
  <c r="S14" i="3"/>
  <c r="S15" i="3"/>
  <c r="S16" i="3"/>
  <c r="S17" i="3"/>
  <c r="S18" i="3"/>
  <c r="S19" i="3"/>
  <c r="S20" i="3"/>
  <c r="S21" i="3"/>
  <c r="S22" i="3"/>
  <c r="S23" i="3"/>
  <c r="S24" i="3"/>
  <c r="S25" i="3"/>
  <c r="S26" i="3"/>
  <c r="S27" i="3"/>
  <c r="S28" i="3"/>
  <c r="S29" i="3"/>
  <c r="S30" i="3"/>
  <c r="S31" i="3"/>
  <c r="S32" i="3"/>
  <c r="S33" i="3"/>
  <c r="S34" i="3"/>
  <c r="S35" i="3"/>
  <c r="S36" i="3"/>
  <c r="S37" i="3"/>
  <c r="S38" i="3"/>
  <c r="S39" i="3"/>
  <c r="S40" i="3"/>
  <c r="S41" i="3"/>
  <c r="S42" i="3"/>
  <c r="S43" i="3"/>
  <c r="S44" i="3"/>
  <c r="S45" i="3"/>
  <c r="S46" i="3"/>
  <c r="S47" i="3"/>
  <c r="S48" i="3"/>
  <c r="S49" i="3"/>
  <c r="S50" i="3"/>
  <c r="S51" i="3"/>
  <c r="S52" i="3"/>
  <c r="S53" i="3"/>
  <c r="S54" i="3"/>
  <c r="S55" i="3"/>
  <c r="S56" i="3"/>
  <c r="S57" i="3"/>
  <c r="S58" i="3"/>
  <c r="S59" i="3"/>
  <c r="S60" i="3"/>
  <c r="S61" i="3"/>
  <c r="S62" i="3"/>
  <c r="S63" i="3"/>
  <c r="S64" i="3"/>
  <c r="S65" i="3"/>
  <c r="S66" i="3"/>
  <c r="S67" i="3"/>
  <c r="S68" i="3"/>
  <c r="S69" i="3"/>
  <c r="S70" i="3"/>
  <c r="S71" i="3"/>
  <c r="S72" i="3"/>
  <c r="S73" i="3"/>
  <c r="S74" i="3"/>
</calcChain>
</file>

<file path=xl/sharedStrings.xml><?xml version="1.0" encoding="utf-8"?>
<sst xmlns="http://schemas.openxmlformats.org/spreadsheetml/2006/main" count="2546" uniqueCount="237">
  <si>
    <t>MBA Masters Thesis Survey- Stock Market, Traditional and Newer Asset Classes, Cryptocurrency</t>
  </si>
  <si>
    <t>Timestamp</t>
  </si>
  <si>
    <t>1. What generation do you belong to? 
您屬於哪一個世代？</t>
  </si>
  <si>
    <t>2. Are you a college student? 
您是大學的學生嗎？</t>
  </si>
  <si>
    <t>3. If you are a college student, what major are you? 
如果您是大學生，您的主修是什麼？</t>
  </si>
  <si>
    <t>4. Financial Knowledge: On a scale of 1 (Novice) to 5 (Expert), how would you rate your overall financial literacy? 
財務知識：在 1（初學者）到 5（專家）的範圍內，您會如何評價自己的整體財務素養？</t>
  </si>
  <si>
    <t>5. Have you invested in the stock market? 
您曾經投資股市嗎？</t>
  </si>
  <si>
    <t>6. How many years have you invested in the stock market? 
您在股市投資了多少年？</t>
  </si>
  <si>
    <t>7. Reasons for Not Investing: If you have not invested in the stock market, what are the primary reasons? 
不投資的原因：如果您沒有投資股市，主要原因是什麼？（可複選）</t>
  </si>
  <si>
    <t>8. Motivation for Investing: If you do invest in the stock market (or want to), what is your primary motivation? 
投資動機：如果您有投資股市（或想投資），您的主要動機是什麼？</t>
  </si>
  <si>
    <t>9 .  Awareness and Perception: How familiar are you with cryptocurrency (e.g., Bitcoin, Ethereum, XRP)? 認知與看法：您對加密貨幣了解程度如何？</t>
  </si>
  <si>
    <t>10 .  Willingness to Invest: If you have not yet invested in crypto, how willing are you to invest in cryptocurrency in the future? 
投資意願：如果您尚未投資加密貨幣，您未來對加密貨幣投資的意願如何？</t>
  </si>
  <si>
    <t>11. How much would large-scale investment by major banks influence your willingness to invest in crypto?
大型銀行的大規模投資會在多大程度上影響您對加密貨幣的投資意願？</t>
  </si>
  <si>
    <t>12 .  Do you believe that banks have your best interest in mind when they invest on your behalf? 
當銀行代表您進行投資時，您認為他們是以您的最佳利益為考量嗎？</t>
  </si>
  <si>
    <t>13 .  Factors Influencing Crypto Investment: Which factors would make you more likely to invest in cryptocurrency? (Select all that apply) 
影響加密貨幣投資的因素：哪些因素會讓您更可能投資加密貨幣？（可複選）</t>
  </si>
  <si>
    <t>14 .  SWIFT System Knowledge: How familiar are you with the SWIFT system used for international bank transactions? 
SWIFT 系統認知: 您對國際銀行交易使用的 SWIFT 系統了解程度如何？</t>
  </si>
  <si>
    <t>15 .  Crypto Replacing SWIFT: To what extent do you agree or disagree that "Cryptocurrencies will one day replace the SWIFT system for international payments"? 
加密貨幣取代 SWIFT:  對以下說法，您在多大程度上同意或不同意？「加密貨幣有一天將取代 SWIFT 系統作為國際支付方式。」</t>
  </si>
  <si>
    <t>16 .  Reasons for Crypto Replacing SWIFT: What is the biggest potential advantage of cryptocurrencies over traditional payments via SWIFT system? 
加密貨幣取代 SWIFT 的原因: 您認為加密貨幣相對於 SWIFT 系統最大的潛在優勢是什麼？</t>
  </si>
  <si>
    <t>17 .  Reasons for SWIFT Enduring: What is the biggest hurdle holding cryptocurrencies back from replacing SWIFT? 
SWIFT 持續存在的原因：您認為加密貨幣在取代 SWIFT 系統前，最大的障礙是什麼？</t>
  </si>
  <si>
    <t>2025/10/27 2:43:34 PM GMT+8</t>
  </si>
  <si>
    <t>Generation Z: 1997–2012 Z 世代：1997–2012</t>
  </si>
  <si>
    <t>Yes 是</t>
  </si>
  <si>
    <t>GMBA</t>
  </si>
  <si>
    <t>Yes 有</t>
  </si>
  <si>
    <t>7 to 10 years 7 至 10 年</t>
  </si>
  <si>
    <t>Long-term wealth building 長期財富累積</t>
  </si>
  <si>
    <t>Somewhat familiar 有些熟悉</t>
  </si>
  <si>
    <t>Very willing 非常願意</t>
  </si>
  <si>
    <t>Yes 會</t>
  </si>
  <si>
    <t>No 否</t>
  </si>
  <si>
    <t>Potential for high returns 高報酬潛力;Recommendations from friends or family 來自朋友或家人的建議;Improved regulatory clarity 監管環境更加明朗;Increased knowledge and education 增加知識和教育</t>
  </si>
  <si>
    <t>Very familiar 非常熟悉</t>
  </si>
  <si>
    <t>Strongly agree 非常同意</t>
  </si>
  <si>
    <t>Lower costs 降低成本</t>
  </si>
  <si>
    <t>Lack of widespread adoption 缺乏廣泛採用</t>
  </si>
  <si>
    <t>2025/11/03 4:17:39 PM GMT+8</t>
  </si>
  <si>
    <t>I have considered it but have not started yet 我曾經考慮過，但尚未開始</t>
  </si>
  <si>
    <t>Less than 1 year  1 年以下</t>
  </si>
  <si>
    <t>I don't have enough knowledge 我沒有足夠的知識</t>
  </si>
  <si>
    <t>Short-term gains 短期收益</t>
  </si>
  <si>
    <t>Somewhat unwilling 有些不願意</t>
  </si>
  <si>
    <t>No change 沒有改變</t>
  </si>
  <si>
    <t>Potential for high returns 高報酬潛力;Lower volatility 降低波動性</t>
  </si>
  <si>
    <t>Disagree 不同意</t>
  </si>
  <si>
    <t>Decentralization 去中心化</t>
  </si>
  <si>
    <t>Regulatory challenges 監管挑戰</t>
  </si>
  <si>
    <t>2025/11/03 4:18:24 PM GMT+8</t>
  </si>
  <si>
    <t>Millennials (Generation Y): 1981–1996 千禧世代（Y 世代）：1981–1996</t>
  </si>
  <si>
    <t>Saving for future contingencies (e.g., retirement) 為未來儲蓄（例如退休）</t>
  </si>
  <si>
    <t>Not at all familiar 完全不熟悉</t>
  </si>
  <si>
    <t>Increased knowledge and education 增加知識和教育</t>
  </si>
  <si>
    <t>Increased speed 提升速度</t>
  </si>
  <si>
    <t>Security concerns 安全疑慮</t>
  </si>
  <si>
    <t>2025/11/03 4:19:07 PM GMT+8</t>
  </si>
  <si>
    <t>Not very familiar 不太熟悉</t>
  </si>
  <si>
    <t>Somewhat willing 有些願意</t>
  </si>
  <si>
    <t>Slightly decrease 輕微減少</t>
  </si>
  <si>
    <t>Neutral 中立</t>
  </si>
  <si>
    <t>Greater transparency 更高透明度</t>
  </si>
  <si>
    <t>Scalability issues 擴展性問題</t>
  </si>
  <si>
    <t>2025/11/03 4:23:34 PM GMT+8</t>
  </si>
  <si>
    <t>1 to 3 years 1 至 3 年</t>
  </si>
  <si>
    <t>Neither willing nor unwilling 既不願意也不排斥</t>
  </si>
  <si>
    <t>Improved regulatory clarity 監管環境更加明朗;Increased knowledge and education 增加知識和教育</t>
  </si>
  <si>
    <t>High volatility in price 價格高度波動</t>
  </si>
  <si>
    <t>2025/11/03 4:25:34 PM GMT+8</t>
  </si>
  <si>
    <t>Significantly increase 大幅增加</t>
  </si>
  <si>
    <t>Maybe 可能</t>
  </si>
  <si>
    <t>Potential for high returns 高報酬潛力;Improved regulatory clarity 監管環境更加明朗;Increased knowledge and education 增加知識和教育</t>
  </si>
  <si>
    <t>2025/11/03 4:36:44 PM GMT+8</t>
  </si>
  <si>
    <t>1 - Novice 初學者</t>
  </si>
  <si>
    <t>I am not interested 沒有興趣</t>
  </si>
  <si>
    <t>I can't afford it 我負擔不起;I don't have enough knowledge 我沒有足夠的知識</t>
  </si>
  <si>
    <t>Slightly increase 輕微增加</t>
  </si>
  <si>
    <t>Potential for high returns 高報酬潛力;Improved regulatory clarity 監管環境更加明朗;Increased knowledge and education 增加知識和教育;Lower volatility 降低波動性</t>
  </si>
  <si>
    <t>2025/11/03 4:56:03 PM GMT+8</t>
  </si>
  <si>
    <t>I am not interested 我沒有興趣;I have stopped investing after facing a loss in the past 我曾經因為虧損而停止投資</t>
  </si>
  <si>
    <t>Fear of missing out (FOMO) 害怕錯過;Recommendations from friends or family 來自朋友或家人的建議;Lower volatility 降低波動性</t>
  </si>
  <si>
    <t>Other 其他</t>
  </si>
  <si>
    <t>2025/11/03 5:22:43 PM GMT+8</t>
  </si>
  <si>
    <t>Very unwilling 非常不願意</t>
  </si>
  <si>
    <t>Recommendations from friends or family 來自朋友或家人的建議;Increased knowledge and education 增加知識和教育;Lower volatility 降低波動性</t>
  </si>
  <si>
    <t>2025/11/03 6:12:09 PM GMT+8</t>
  </si>
  <si>
    <t>Recommendations from friends or family 來自朋友或家人的建議;Improved regulatory clarity 監管環境更加明朗;Increased knowledge and education 增加知識和教育;Lower volatility 降低波動性</t>
  </si>
  <si>
    <t>2025/11/03 6:59:49 PM GMT+8</t>
  </si>
  <si>
    <t>No 沒有</t>
  </si>
  <si>
    <t>I don't have enough knowledge 我沒有足夠的知識;I don't need to invest right now 我現在不需要投資;I think I'm too young to start investing 我覺得自己太年輕，還不適合開始投資</t>
  </si>
  <si>
    <t>Fear of missing out (FOMO) 害怕錯過;Recommendations from friends or family 來自朋友或家人的建議;Increased knowledge and education 增加知識和教育</t>
  </si>
  <si>
    <t>2025/11/03 11:08:53 PM GMT+8</t>
  </si>
  <si>
    <t>Improved regulatory clarity 監管環境更加明朗;Lower volatility 降低波動性</t>
  </si>
  <si>
    <t>2025/11/03 11:57:08 PM GMT+8</t>
  </si>
  <si>
    <t>I can't afford it 我負擔不起;I don't have enough knowledge 我沒有足夠的知識;Other 其他</t>
  </si>
  <si>
    <t>Significantly decrease 大幅減少</t>
  </si>
  <si>
    <t>Potential for high returns 高報酬潛力;Increased knowledge and education 增加知識和教育</t>
  </si>
  <si>
    <t>2025/11/04 12:15:04 AM GMT+8</t>
  </si>
  <si>
    <t>2025/11/05 3:46:42 PM GMT+8</t>
  </si>
  <si>
    <t>5 - Expert 專家</t>
  </si>
  <si>
    <t>4 to 6 years 4 至 6 年</t>
  </si>
  <si>
    <t>Agree 同意</t>
  </si>
  <si>
    <t>2025/11/05 3:50:55 PM GMT+8</t>
  </si>
  <si>
    <t>Fear of missing out (FOMO) 害怕錯過</t>
  </si>
  <si>
    <t>2025/11/05 3:51:48 PM GMT+8</t>
  </si>
  <si>
    <t>Improved regulatory clarity 監管環境更加明朗;Increased knowledge and education 增加知識和教育;Lower volatility 降低波動性</t>
  </si>
  <si>
    <t>2025/11/05 4:44:42 PM GMT+8</t>
  </si>
  <si>
    <t>2025/11/05 6:38:49 PM GMT+8</t>
  </si>
  <si>
    <t>2025/11/05 9:51:14 PM GMT+8</t>
  </si>
  <si>
    <t>I am not interested 我沒有興趣</t>
  </si>
  <si>
    <t>Strongly disagree 非常不同意</t>
  </si>
  <si>
    <t>2025/11/06 9:39:35 AM GMT+8</t>
  </si>
  <si>
    <t>Potential for high returns 高報酬潛力;Fear of missing out (FOMO) 害怕錯過;Improved regulatory clarity 監管環境更加明朗;Increased knowledge and education 增加知識和教育</t>
  </si>
  <si>
    <t>2025/11/06 10:30:41 AM GMT+8</t>
  </si>
  <si>
    <t>Potential for high returns 高報酬潛力</t>
  </si>
  <si>
    <t>2025/11/06 10:31:56 AM GMT+8</t>
  </si>
  <si>
    <t>Recommendations from friends or family 來自朋友或家人的建議</t>
  </si>
  <si>
    <t>2025/11/06 10:58:17 AM GMT+8</t>
  </si>
  <si>
    <t>I can't afford it 我負擔不起</t>
  </si>
  <si>
    <t>Lower volatility 降低波動性</t>
  </si>
  <si>
    <t>2025/11/06 4:16:32 PM GMT+8</t>
  </si>
  <si>
    <t>Potential for high returns 高報酬潛力;Fear of missing out (FOMO) 害怕錯過</t>
  </si>
  <si>
    <t>2025/11/09 2:10:16 PM GMT+8</t>
  </si>
  <si>
    <t>2025/11/11 3:16:45 AM GMT+8</t>
  </si>
  <si>
    <t>2025/12/04 11:30:38 AM GMT+8</t>
  </si>
  <si>
    <t>Finance 財務金融</t>
  </si>
  <si>
    <t>Potential for high returns 高報酬潛力;Recommendations from friends or family 來自朋友或家人的建議</t>
  </si>
  <si>
    <t>2025/12/04 11:35:41 AM GMT+8</t>
  </si>
  <si>
    <t>2025/12/04 11:39:05 AM GMT+8</t>
  </si>
  <si>
    <t>I have stopped investing after facing a loss in the past 我曾經因為虧損而停止投資</t>
  </si>
  <si>
    <t>Increased security 更高安全性</t>
  </si>
  <si>
    <t>2025/12/04 12:24:38 PM GMT+8</t>
  </si>
  <si>
    <t>Potential for high returns 高報酬潛力;Improved regulatory clarity 監管環境更加明朗</t>
  </si>
  <si>
    <t>2025/12/04 1:04:55 PM GMT+8</t>
  </si>
  <si>
    <t>2025/12/04 1:08:51 PM GMT+8</t>
  </si>
  <si>
    <t>Improved regulatory clarity 監管環境更加明朗</t>
  </si>
  <si>
    <t>2025/12/04 1:18:00 PM GMT+8</t>
  </si>
  <si>
    <t>Potential for high returns 高報酬潛力;Improved regulatory clarity 監管環境更加明朗;Lower volatility 降低波動性</t>
  </si>
  <si>
    <t>2025/12/04 2:18:59 PM GMT+8</t>
  </si>
  <si>
    <t>2025/12/04 2:19:29 PM GMT+8</t>
  </si>
  <si>
    <t xml:space="preserve">International business </t>
  </si>
  <si>
    <t>2025/12/04 2:19:33 PM GMT+8</t>
  </si>
  <si>
    <t>I don't have enough knowledge 我沒有足夠的知識;Other 其他</t>
  </si>
  <si>
    <t>2025/12/04 2:19:41 PM GMT+8</t>
  </si>
  <si>
    <t>Interest in financial markets 對金融市場的興趣</t>
  </si>
  <si>
    <t>2025/12/04 2:19:45 PM GMT+8</t>
  </si>
  <si>
    <t>Fear of missing out (FOMO) 害怕錯過;Improved regulatory clarity 監管環境更加明朗;Increased knowledge and education 增加知識和教育</t>
  </si>
  <si>
    <t>2025/12/04 2:19:54 PM GMT+8</t>
  </si>
  <si>
    <t>I don't have enough knowledge 我沒有足夠的知識;I think I'm too young to start investing 我覺得自己太年輕，還不適合開始投資</t>
  </si>
  <si>
    <t>Increased knowledge and education 增加知識和教育;Lower volatility 降低波動性</t>
  </si>
  <si>
    <t>2025/12/04 2:19:56 PM GMT+8</t>
  </si>
  <si>
    <t>I can't afford it 我負擔不起;I don't have enough knowledge 我沒有足夠的知識;I think I'm too young to start investing 我覺得自己太年輕，還不適合開始投資</t>
  </si>
  <si>
    <t>2025/12/04 2:19:58 PM GMT+8</t>
  </si>
  <si>
    <t>2025/12/04 2:19:59 PM GMT+8</t>
  </si>
  <si>
    <t>2025/12/04 2:20:07 PM GMT+8</t>
  </si>
  <si>
    <t>Business Administration</t>
  </si>
  <si>
    <t>Recommendations from friends or family 來自朋友或家人的建議;Increased knowledge and education 增加知識和教育</t>
  </si>
  <si>
    <t>2025/12/04 2:20:12 PM GMT+8</t>
  </si>
  <si>
    <t>Potential for high returns 高報酬潛力;Fear of missing out (FOMO) 害怕錯過;Increased knowledge and education 增加知識和教育</t>
  </si>
  <si>
    <t>2025/12/04 2:20:14 PM GMT+8</t>
  </si>
  <si>
    <t>International business</t>
  </si>
  <si>
    <t>Potential for high returns 高報酬潛力;Recommendations from friends or family 來自朋友或家人的建議;Improved regulatory clarity 監管環境更加明朗;Increased knowledge and education 增加知識和教育;Lower volatility 降低波動性</t>
  </si>
  <si>
    <t>2025/12/04 2:20:25 PM GMT+8</t>
  </si>
  <si>
    <t>2025/12/04 2:20:49 PM GMT+8</t>
  </si>
  <si>
    <t>IB</t>
  </si>
  <si>
    <t>2025/12/04 2:21:00 PM GMT+8</t>
  </si>
  <si>
    <t>Potential for high returns 高報酬潛力;Recommendations from friends or family 來自朋友或家人的建議;Increased knowledge and education 增加知識和教育;Lower volatility 降低波動性</t>
  </si>
  <si>
    <t>2025/12/04 3:56:05 PM GMT+8</t>
  </si>
  <si>
    <t>Potential for high returns 高報酬潛力;Increased knowledge and education 增加知識和教育;Other 其他</t>
  </si>
  <si>
    <t>2025/12/04 4:34:10 PM GMT+8</t>
  </si>
  <si>
    <t>I can't afford it 我負擔不起;I don't have enough knowledge 我沒有足夠的知識;I am not interested 我沒有興趣</t>
  </si>
  <si>
    <t>2025/12/04 7:02:03 PM GMT+8</t>
  </si>
  <si>
    <t>EMBA</t>
  </si>
  <si>
    <t>2025/12/04 9:59:26 PM GMT+8</t>
  </si>
  <si>
    <t>2025/12/04 11:36:30 PM GMT+8</t>
  </si>
  <si>
    <t>Generation X: 1965–1980 X 世代：1965–1980</t>
  </si>
  <si>
    <t>2025/12/05 4:39:00 PM GMT+8</t>
  </si>
  <si>
    <t>2025/12/05 5:39:39 PM GMT+8</t>
  </si>
  <si>
    <t>10 years or more 10 年或以上</t>
  </si>
  <si>
    <t>2025/12/05 10:08:28 PM GMT+8</t>
  </si>
  <si>
    <t>2025/12/05 10:09:59 PM GMT+8</t>
  </si>
  <si>
    <t>2025/12/06 11:24:54 AM GMT+8</t>
  </si>
  <si>
    <t>Baby Boomers: 1946–1964 嬰兒潮世代: 1946–1964</t>
  </si>
  <si>
    <t>2025/12/06 1:30:45 PM GMT+8</t>
  </si>
  <si>
    <t>2025/12/06 3:29:51 PM GMT+8</t>
  </si>
  <si>
    <t>I don't have enough knowledge 我沒有足夠的知識;I am not interested 我沒有興趣</t>
  </si>
  <si>
    <t>2025/12/06 3:32:03 PM GMT+8</t>
  </si>
  <si>
    <t>2025/12/06 3:34:21 PM GMT+8</t>
  </si>
  <si>
    <t>2025/12/06 3:54:55 PM GMT+8</t>
  </si>
  <si>
    <t>2025/12/07 7:55:56 PM GMT+8</t>
  </si>
  <si>
    <t>2025/12/07 8:07:16 PM GMT+8</t>
  </si>
  <si>
    <t>2025/12/10 3:23:39 PM GMT+8</t>
  </si>
  <si>
    <t>2025/12/10 3:36:11 PM GMT+8</t>
  </si>
  <si>
    <t>2025/12/11 9:45:10 PM GMT+8</t>
  </si>
  <si>
    <t xml:space="preserve">Department of Business Administration </t>
  </si>
  <si>
    <t>Potential for high returns 高報酬潛力;Recommendations from friends or family 來自朋友或家人的建議;Increased knowledge and education 增加知識和教育</t>
  </si>
  <si>
    <t>2025/12/13 5:18:08 PM GMT+8</t>
  </si>
  <si>
    <t>2025/12/16 8:55:28 PM GMT+8</t>
  </si>
  <si>
    <t>2025/12/20 3:27:41 PM GMT+8</t>
  </si>
  <si>
    <t>碩士</t>
  </si>
  <si>
    <t>I don't have enough knowledge 我沒有足夠的知識;I have stopped investing after facing a loss in the past 我曾經因為虧損而停止投資</t>
  </si>
  <si>
    <t>2026/01/08 1:52:00 PM GMT+8</t>
  </si>
  <si>
    <t>Variables</t>
  </si>
  <si>
    <t>(1) Stock Experience</t>
  </si>
  <si>
    <t>(2) Financial Literacy</t>
  </si>
  <si>
    <t>(3) Crypto Familiarity</t>
  </si>
  <si>
    <t>(4) Crypto Willingness</t>
  </si>
  <si>
    <t>(5) Bank Trust</t>
  </si>
  <si>
    <t>(6) SWIFT Replacement</t>
  </si>
  <si>
    <t>0.389***</t>
  </si>
  <si>
    <t>0.369***</t>
  </si>
  <si>
    <t>0.335***</t>
  </si>
  <si>
    <t>0.258**</t>
  </si>
  <si>
    <t>0.430***</t>
  </si>
  <si>
    <t>0.276**</t>
  </si>
  <si>
    <t>0.602***</t>
  </si>
  <si>
    <t>Variable Name</t>
  </si>
  <si>
    <t>Survey Question (Source)</t>
  </si>
  <si>
    <t>Scale</t>
  </si>
  <si>
    <t>Stock Market Experience</t>
  </si>
  <si>
    <t>"How many years of experience do you have in traditional stock market investing?"</t>
  </si>
  <si>
    <t>1 (&lt;1yr) to 5 (10yr+)</t>
  </si>
  <si>
    <t>Financial Literacy</t>
  </si>
  <si>
    <t>"How would you rate your overall financial knowledge and literacy?"</t>
  </si>
  <si>
    <t>1 (Novice) to 5 (Expert)</t>
  </si>
  <si>
    <t>Crypto Familiarity</t>
  </si>
  <si>
    <t>"How familiar are you with cryptocurrency and blockchain technology?"</t>
  </si>
  <si>
    <t>1 (Not at all) to 5 (Very)</t>
  </si>
  <si>
    <t>Investment Willingness</t>
  </si>
  <si>
    <t>"How willing are you to invest in cryptocurrency?"</t>
  </si>
  <si>
    <t>1 (Unwilling) to 5 (Willing)</t>
  </si>
  <si>
    <t>Trust in Institutions</t>
  </si>
  <si>
    <t>"How much do you trust traditional financial institutions (e.g., banks)?"</t>
  </si>
  <si>
    <t>1 (Distrust) to 5 (Trust)</t>
  </si>
  <si>
    <t>Creative Destruction</t>
  </si>
  <si>
    <t>"Do you believe cryptocurrency has the potential to replace or lessen the importance of SWIFT?"</t>
  </si>
  <si>
    <t>1 (Disagree) to 5 (Agree)</t>
  </si>
  <si>
    <t xml:space="preserve">Literacy 4 </t>
  </si>
  <si>
    <t>Familiarity 9</t>
  </si>
  <si>
    <t>Willingness 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</si>
</sst>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0"/>
      <color indexed="8"/>
      <name val="Helvetica Neue"/>
    </font>
    <font>
      <sz val="12"/>
      <color indexed="8"/>
      <name val="Helvetica Neue"/>
    </font>
    <font>
      <b/>
      <sz val="10"/>
      <color indexed="8"/>
      <name val="Helvetica Neue"/>
    </font>
    <font>
      <sz val="10"/>
      <color indexed="8"/>
      <name val="Helvetica Neue"/>
      <family val="2"/>
    </font>
    <font>
      <sz val="10"/>
      <color rgb="FF000000"/>
      <name val="Arial"/>
      <family val="2"/>
    </font>
    <font>
      <b/>
      <sz val="10"/>
      <color rgb="FF000000"/>
      <name val="Arial"/>
      <family val="2"/>
    </font>
    <font>
      <i/>
      <sz val="10"/>
      <color rgb="FF000000"/>
      <name val="Arial"/>
      <family val="2"/>
    </font>
    <font>
      <sz val="14"/>
      <color rgb="FF000000"/>
      <name val="-webkit-standard"/>
    </font>
    <font>
      <b/>
      <sz val="10"/>
      <color indexed="8"/>
      <name val="Helvetica Neue"/>
      <family val="2"/>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fillId="0" borderId="0" applyNumberFormat="0" applyFill="0" applyBorder="0" applyProtection="0">
      <alignment vertical="top" wrapText="1"/>
    </xf>
  </cellStyleXfs>
  <cellXfs count="21">
    <xf numFmtId="0" fontId="0" fillId="0" borderId="0" xfId="0">
      <alignment vertical="top" wrapText="1"/>
    </xf>
    <xf numFmtId="0" fontId="0" fillId="0" borderId="0" xfId="0" applyNumberFormat="1" applyAlignment="1">
      <alignment vertical="top"/>
    </xf>
    <xf numFmtId="49" fontId="2" fillId="2" borderId="1" xfId="0" applyNumberFormat="1" applyFont="1" applyFill="1" applyBorder="1" applyAlignment="1">
      <alignment vertical="top"/>
    </xf>
    <xf numFmtId="49" fontId="2" fillId="2" borderId="1" xfId="0" applyNumberFormat="1" applyFont="1" applyFill="1" applyBorder="1">
      <alignment vertical="top" wrapText="1"/>
    </xf>
    <xf numFmtId="49" fontId="2" fillId="3" borderId="2" xfId="0" applyNumberFormat="1" applyFont="1" applyFill="1" applyBorder="1" applyAlignment="1">
      <alignment vertical="top"/>
    </xf>
    <xf numFmtId="49" fontId="0" fillId="0" borderId="3" xfId="0" applyNumberFormat="1" applyBorder="1" applyAlignment="1">
      <alignment vertical="top"/>
    </xf>
    <xf numFmtId="49" fontId="0" fillId="0" borderId="4" xfId="0" applyNumberFormat="1" applyBorder="1" applyAlignment="1">
      <alignment vertical="top"/>
    </xf>
    <xf numFmtId="0" fontId="0" fillId="0" borderId="4" xfId="0" applyNumberFormat="1" applyBorder="1" applyAlignment="1">
      <alignment vertical="top"/>
    </xf>
    <xf numFmtId="0" fontId="0" fillId="0" borderId="4" xfId="0" applyBorder="1" applyAlignment="1">
      <alignment vertical="top"/>
    </xf>
    <xf numFmtId="49" fontId="2" fillId="3" borderId="5" xfId="0" applyNumberFormat="1" applyFont="1" applyFill="1" applyBorder="1" applyAlignment="1">
      <alignment vertical="top"/>
    </xf>
    <xf numFmtId="49" fontId="0" fillId="0" borderId="6" xfId="0" applyNumberFormat="1" applyBorder="1" applyAlignment="1">
      <alignment vertical="top"/>
    </xf>
    <xf numFmtId="49" fontId="0" fillId="0" borderId="7" xfId="0" applyNumberFormat="1" applyBorder="1" applyAlignment="1">
      <alignment vertical="top"/>
    </xf>
    <xf numFmtId="0" fontId="0" fillId="0" borderId="7" xfId="0" applyNumberFormat="1" applyBorder="1" applyAlignment="1">
      <alignment vertical="top"/>
    </xf>
    <xf numFmtId="0" fontId="0" fillId="0" borderId="7" xfId="0" applyBorder="1" applyAlignment="1">
      <alignment vertical="top"/>
    </xf>
    <xf numFmtId="0" fontId="1" fillId="0" borderId="0" xfId="0" applyFont="1" applyAlignment="1">
      <alignment horizontal="center" vertical="center"/>
    </xf>
    <xf numFmtId="0" fontId="5" fillId="0" borderId="0" xfId="0" applyFont="1">
      <alignment vertical="top" wrapText="1"/>
    </xf>
    <xf numFmtId="0" fontId="4" fillId="0" borderId="0" xfId="0" applyFont="1">
      <alignment vertical="top" wrapText="1"/>
    </xf>
    <xf numFmtId="0" fontId="6" fillId="0" borderId="0" xfId="0" applyFont="1">
      <alignment vertical="top" wrapText="1"/>
    </xf>
    <xf numFmtId="0" fontId="7" fillId="0" borderId="0" xfId="0" applyFont="1">
      <alignment vertical="top" wrapText="1"/>
    </xf>
    <xf numFmtId="0" fontId="3" fillId="0" borderId="0" xfId="0" applyNumberFormat="1" applyFont="1" applyAlignment="1">
      <alignment vertical="top"/>
    </xf>
    <xf numFmtId="49" fontId="8" fillId="2" borderId="1" xfId="0" applyNumberFormat="1" applyFont="1" applyFill="1" applyBorder="1" applyAlignment="1">
      <alignment vertical="top"/>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R75"/>
  <sheetViews>
    <sheetView showGridLines="0" workbookViewId="0">
      <selection sqref="A1:R1"/>
    </sheetView>
  </sheetViews>
  <sheetFormatPr baseColWidth="10" defaultColWidth="8.33203125" defaultRowHeight="20" customHeight="1"/>
  <cols>
    <col min="1" max="1" width="26.33203125" style="1" customWidth="1"/>
    <col min="2" max="2" width="54.83203125" style="1" customWidth="1"/>
    <col min="3" max="3" width="24.83203125" style="1" customWidth="1"/>
    <col min="4" max="4" width="42.5" style="1" customWidth="1"/>
    <col min="5" max="5" width="90.6640625" style="1" customWidth="1"/>
    <col min="6" max="6" width="54.6640625" style="1" customWidth="1"/>
    <col min="7" max="7" width="48.5" style="1" customWidth="1"/>
    <col min="8" max="8" width="133.33203125" style="1" customWidth="1"/>
    <col min="9" max="9" width="87.83203125" style="1" customWidth="1"/>
    <col min="10" max="10" width="116" style="1" customWidth="1"/>
    <col min="11" max="11" width="100.83203125" style="1" customWidth="1"/>
    <col min="12" max="12" width="85.83203125" style="1" customWidth="1"/>
    <col min="13" max="13" width="77.6640625" style="1" customWidth="1"/>
    <col min="14" max="14" width="166.6640625" style="1" customWidth="1"/>
    <col min="15" max="15" width="95.5" style="1" customWidth="1"/>
    <col min="16" max="16" width="130.33203125" style="1" customWidth="1"/>
    <col min="17" max="17" width="119.5" style="1" customWidth="1"/>
    <col min="18" max="18" width="93.33203125" style="1" customWidth="1"/>
    <col min="19" max="19" width="8.33203125" style="1" customWidth="1"/>
    <col min="20" max="16384" width="8.33203125" style="1"/>
  </cols>
  <sheetData>
    <row r="1" spans="1:18" ht="27.75" customHeight="1">
      <c r="A1" s="14" t="s">
        <v>0</v>
      </c>
      <c r="B1" s="14"/>
      <c r="C1" s="14"/>
      <c r="D1" s="14"/>
      <c r="E1" s="14"/>
      <c r="F1" s="14"/>
      <c r="G1" s="14"/>
      <c r="H1" s="14"/>
      <c r="I1" s="14"/>
      <c r="J1" s="14"/>
      <c r="K1" s="14"/>
      <c r="L1" s="14"/>
      <c r="M1" s="14"/>
      <c r="N1" s="14"/>
      <c r="O1" s="14"/>
      <c r="P1" s="14"/>
      <c r="Q1" s="14"/>
      <c r="R1" s="14"/>
    </row>
    <row r="2" spans="1:18" ht="32.25" customHeight="1">
      <c r="A2" s="2" t="s">
        <v>1</v>
      </c>
      <c r="B2" s="3" t="s">
        <v>2</v>
      </c>
      <c r="C2" s="3" t="s">
        <v>3</v>
      </c>
      <c r="D2" s="3" t="s">
        <v>4</v>
      </c>
      <c r="E2" s="3" t="s">
        <v>5</v>
      </c>
      <c r="F2" s="3" t="s">
        <v>6</v>
      </c>
      <c r="G2" s="3" t="s">
        <v>7</v>
      </c>
      <c r="H2" s="3" t="s">
        <v>8</v>
      </c>
      <c r="I2" s="3" t="s">
        <v>9</v>
      </c>
      <c r="J2" s="2" t="s">
        <v>10</v>
      </c>
      <c r="K2" s="3" t="s">
        <v>11</v>
      </c>
      <c r="L2" s="3" t="s">
        <v>12</v>
      </c>
      <c r="M2" s="3" t="s">
        <v>13</v>
      </c>
      <c r="N2" s="3" t="s">
        <v>14</v>
      </c>
      <c r="O2" s="3" t="s">
        <v>15</v>
      </c>
      <c r="P2" s="3" t="s">
        <v>16</v>
      </c>
      <c r="Q2" s="3" t="s">
        <v>17</v>
      </c>
      <c r="R2" s="3" t="s">
        <v>18</v>
      </c>
    </row>
    <row r="3" spans="1:18" ht="20.25" customHeight="1">
      <c r="A3" s="4" t="s">
        <v>19</v>
      </c>
      <c r="B3" s="5" t="s">
        <v>20</v>
      </c>
      <c r="C3" s="6" t="s">
        <v>21</v>
      </c>
      <c r="D3" s="6" t="s">
        <v>22</v>
      </c>
      <c r="E3" s="7">
        <v>4</v>
      </c>
      <c r="F3" s="6" t="s">
        <v>23</v>
      </c>
      <c r="G3" s="6" t="s">
        <v>24</v>
      </c>
      <c r="H3" s="8"/>
      <c r="I3" s="6" t="s">
        <v>25</v>
      </c>
      <c r="J3" s="6" t="s">
        <v>26</v>
      </c>
      <c r="K3" s="6" t="s">
        <v>27</v>
      </c>
      <c r="L3" s="6" t="s">
        <v>28</v>
      </c>
      <c r="M3" s="6" t="s">
        <v>29</v>
      </c>
      <c r="N3" s="6" t="s">
        <v>30</v>
      </c>
      <c r="O3" s="6" t="s">
        <v>31</v>
      </c>
      <c r="P3" s="6" t="s">
        <v>32</v>
      </c>
      <c r="Q3" s="6" t="s">
        <v>33</v>
      </c>
      <c r="R3" s="6" t="s">
        <v>34</v>
      </c>
    </row>
    <row r="4" spans="1:18" ht="20" customHeight="1">
      <c r="A4" s="9" t="s">
        <v>35</v>
      </c>
      <c r="B4" s="10" t="s">
        <v>20</v>
      </c>
      <c r="C4" s="11" t="s">
        <v>21</v>
      </c>
      <c r="D4" s="11" t="s">
        <v>22</v>
      </c>
      <c r="E4" s="12">
        <v>3</v>
      </c>
      <c r="F4" s="11" t="s">
        <v>36</v>
      </c>
      <c r="G4" s="11" t="s">
        <v>37</v>
      </c>
      <c r="H4" s="11" t="s">
        <v>38</v>
      </c>
      <c r="I4" s="11" t="s">
        <v>39</v>
      </c>
      <c r="J4" s="11" t="s">
        <v>26</v>
      </c>
      <c r="K4" s="11" t="s">
        <v>40</v>
      </c>
      <c r="L4" s="11" t="s">
        <v>41</v>
      </c>
      <c r="M4" s="11" t="s">
        <v>29</v>
      </c>
      <c r="N4" s="11" t="s">
        <v>42</v>
      </c>
      <c r="O4" s="11" t="s">
        <v>26</v>
      </c>
      <c r="P4" s="11" t="s">
        <v>43</v>
      </c>
      <c r="Q4" s="11" t="s">
        <v>44</v>
      </c>
      <c r="R4" s="11" t="s">
        <v>45</v>
      </c>
    </row>
    <row r="5" spans="1:18" ht="20" customHeight="1">
      <c r="A5" s="9" t="s">
        <v>46</v>
      </c>
      <c r="B5" s="10" t="s">
        <v>47</v>
      </c>
      <c r="C5" s="11" t="s">
        <v>21</v>
      </c>
      <c r="D5" s="11" t="s">
        <v>22</v>
      </c>
      <c r="E5" s="12">
        <v>4</v>
      </c>
      <c r="F5" s="11" t="s">
        <v>23</v>
      </c>
      <c r="G5" s="11" t="s">
        <v>24</v>
      </c>
      <c r="H5" s="13"/>
      <c r="I5" s="11" t="s">
        <v>48</v>
      </c>
      <c r="J5" s="11" t="s">
        <v>49</v>
      </c>
      <c r="K5" s="11" t="s">
        <v>40</v>
      </c>
      <c r="L5" s="11" t="s">
        <v>41</v>
      </c>
      <c r="M5" s="11" t="s">
        <v>21</v>
      </c>
      <c r="N5" s="11" t="s">
        <v>50</v>
      </c>
      <c r="O5" s="11" t="s">
        <v>49</v>
      </c>
      <c r="P5" s="11" t="s">
        <v>43</v>
      </c>
      <c r="Q5" s="11" t="s">
        <v>51</v>
      </c>
      <c r="R5" s="11" t="s">
        <v>52</v>
      </c>
    </row>
    <row r="6" spans="1:18" ht="20" customHeight="1">
      <c r="A6" s="9" t="s">
        <v>53</v>
      </c>
      <c r="B6" s="10" t="s">
        <v>20</v>
      </c>
      <c r="C6" s="11" t="s">
        <v>21</v>
      </c>
      <c r="D6" s="11" t="s">
        <v>22</v>
      </c>
      <c r="E6" s="12">
        <v>3</v>
      </c>
      <c r="F6" s="11" t="s">
        <v>23</v>
      </c>
      <c r="G6" s="11" t="s">
        <v>37</v>
      </c>
      <c r="H6" s="13"/>
      <c r="I6" s="11" t="s">
        <v>39</v>
      </c>
      <c r="J6" s="11" t="s">
        <v>54</v>
      </c>
      <c r="K6" s="11" t="s">
        <v>55</v>
      </c>
      <c r="L6" s="11" t="s">
        <v>56</v>
      </c>
      <c r="M6" s="11" t="s">
        <v>29</v>
      </c>
      <c r="N6" s="11" t="s">
        <v>50</v>
      </c>
      <c r="O6" s="11" t="s">
        <v>49</v>
      </c>
      <c r="P6" s="11" t="s">
        <v>57</v>
      </c>
      <c r="Q6" s="11" t="s">
        <v>58</v>
      </c>
      <c r="R6" s="11" t="s">
        <v>59</v>
      </c>
    </row>
    <row r="7" spans="1:18" ht="20" customHeight="1">
      <c r="A7" s="9" t="s">
        <v>60</v>
      </c>
      <c r="B7" s="10" t="s">
        <v>20</v>
      </c>
      <c r="C7" s="11" t="s">
        <v>21</v>
      </c>
      <c r="D7" s="11" t="s">
        <v>22</v>
      </c>
      <c r="E7" s="12">
        <v>3</v>
      </c>
      <c r="F7" s="11" t="s">
        <v>36</v>
      </c>
      <c r="G7" s="11" t="s">
        <v>61</v>
      </c>
      <c r="H7" s="11" t="s">
        <v>38</v>
      </c>
      <c r="I7" s="11" t="s">
        <v>25</v>
      </c>
      <c r="J7" s="11" t="s">
        <v>26</v>
      </c>
      <c r="K7" s="11" t="s">
        <v>62</v>
      </c>
      <c r="L7" s="11" t="s">
        <v>41</v>
      </c>
      <c r="M7" s="11" t="s">
        <v>21</v>
      </c>
      <c r="N7" s="11" t="s">
        <v>63</v>
      </c>
      <c r="O7" s="11" t="s">
        <v>54</v>
      </c>
      <c r="P7" s="11" t="s">
        <v>57</v>
      </c>
      <c r="Q7" s="11" t="s">
        <v>44</v>
      </c>
      <c r="R7" s="11" t="s">
        <v>64</v>
      </c>
    </row>
    <row r="8" spans="1:18" ht="20" customHeight="1">
      <c r="A8" s="9" t="s">
        <v>65</v>
      </c>
      <c r="B8" s="10" t="s">
        <v>20</v>
      </c>
      <c r="C8" s="11" t="s">
        <v>21</v>
      </c>
      <c r="D8" s="11" t="s">
        <v>22</v>
      </c>
      <c r="E8" s="12">
        <v>3</v>
      </c>
      <c r="F8" s="11" t="s">
        <v>23</v>
      </c>
      <c r="G8" s="11" t="s">
        <v>61</v>
      </c>
      <c r="H8" s="13"/>
      <c r="I8" s="11" t="s">
        <v>25</v>
      </c>
      <c r="J8" s="11" t="s">
        <v>54</v>
      </c>
      <c r="K8" s="11" t="s">
        <v>55</v>
      </c>
      <c r="L8" s="11" t="s">
        <v>66</v>
      </c>
      <c r="M8" s="11" t="s">
        <v>67</v>
      </c>
      <c r="N8" s="11" t="s">
        <v>68</v>
      </c>
      <c r="O8" s="11" t="s">
        <v>49</v>
      </c>
      <c r="P8" s="11" t="s">
        <v>57</v>
      </c>
      <c r="Q8" s="11" t="s">
        <v>58</v>
      </c>
      <c r="R8" s="11" t="s">
        <v>45</v>
      </c>
    </row>
    <row r="9" spans="1:18" ht="20" customHeight="1">
      <c r="A9" s="9" t="s">
        <v>69</v>
      </c>
      <c r="B9" s="10" t="s">
        <v>20</v>
      </c>
      <c r="C9" s="11" t="s">
        <v>21</v>
      </c>
      <c r="D9" s="11" t="s">
        <v>22</v>
      </c>
      <c r="E9" s="11" t="s">
        <v>70</v>
      </c>
      <c r="F9" s="11" t="s">
        <v>71</v>
      </c>
      <c r="G9" s="11" t="s">
        <v>37</v>
      </c>
      <c r="H9" s="11" t="s">
        <v>72</v>
      </c>
      <c r="I9" s="11" t="s">
        <v>39</v>
      </c>
      <c r="J9" s="11" t="s">
        <v>54</v>
      </c>
      <c r="K9" s="11" t="s">
        <v>40</v>
      </c>
      <c r="L9" s="11" t="s">
        <v>73</v>
      </c>
      <c r="M9" s="11" t="s">
        <v>67</v>
      </c>
      <c r="N9" s="11" t="s">
        <v>74</v>
      </c>
      <c r="O9" s="11" t="s">
        <v>49</v>
      </c>
      <c r="P9" s="11" t="s">
        <v>57</v>
      </c>
      <c r="Q9" s="11" t="s">
        <v>44</v>
      </c>
      <c r="R9" s="11" t="s">
        <v>64</v>
      </c>
    </row>
    <row r="10" spans="1:18" ht="20" customHeight="1">
      <c r="A10" s="9" t="s">
        <v>75</v>
      </c>
      <c r="B10" s="10" t="s">
        <v>47</v>
      </c>
      <c r="C10" s="11" t="s">
        <v>21</v>
      </c>
      <c r="D10" s="11" t="s">
        <v>22</v>
      </c>
      <c r="E10" s="11" t="s">
        <v>70</v>
      </c>
      <c r="F10" s="11" t="s">
        <v>23</v>
      </c>
      <c r="G10" s="11" t="s">
        <v>37</v>
      </c>
      <c r="H10" s="11" t="s">
        <v>76</v>
      </c>
      <c r="I10" s="11" t="s">
        <v>48</v>
      </c>
      <c r="J10" s="11" t="s">
        <v>26</v>
      </c>
      <c r="K10" s="11" t="s">
        <v>62</v>
      </c>
      <c r="L10" s="11" t="s">
        <v>73</v>
      </c>
      <c r="M10" s="11" t="s">
        <v>29</v>
      </c>
      <c r="N10" s="11" t="s">
        <v>77</v>
      </c>
      <c r="O10" s="11" t="s">
        <v>49</v>
      </c>
      <c r="P10" s="11" t="s">
        <v>57</v>
      </c>
      <c r="Q10" s="11" t="s">
        <v>78</v>
      </c>
      <c r="R10" s="11" t="s">
        <v>34</v>
      </c>
    </row>
    <row r="11" spans="1:18" ht="20" customHeight="1">
      <c r="A11" s="9" t="s">
        <v>79</v>
      </c>
      <c r="B11" s="10" t="s">
        <v>20</v>
      </c>
      <c r="C11" s="11" t="s">
        <v>21</v>
      </c>
      <c r="D11" s="11" t="s">
        <v>22</v>
      </c>
      <c r="E11" s="12">
        <v>2</v>
      </c>
      <c r="F11" s="11" t="s">
        <v>23</v>
      </c>
      <c r="G11" s="11" t="s">
        <v>61</v>
      </c>
      <c r="H11" s="11" t="s">
        <v>72</v>
      </c>
      <c r="I11" s="11" t="s">
        <v>25</v>
      </c>
      <c r="J11" s="11" t="s">
        <v>49</v>
      </c>
      <c r="K11" s="11" t="s">
        <v>80</v>
      </c>
      <c r="L11" s="11" t="s">
        <v>41</v>
      </c>
      <c r="M11" s="11" t="s">
        <v>29</v>
      </c>
      <c r="N11" s="11" t="s">
        <v>81</v>
      </c>
      <c r="O11" s="11" t="s">
        <v>54</v>
      </c>
      <c r="P11" s="11" t="s">
        <v>43</v>
      </c>
      <c r="Q11" s="11" t="s">
        <v>44</v>
      </c>
      <c r="R11" s="11" t="s">
        <v>64</v>
      </c>
    </row>
    <row r="12" spans="1:18" ht="20" customHeight="1">
      <c r="A12" s="9" t="s">
        <v>82</v>
      </c>
      <c r="B12" s="10" t="s">
        <v>20</v>
      </c>
      <c r="C12" s="11" t="s">
        <v>21</v>
      </c>
      <c r="D12" s="11" t="s">
        <v>22</v>
      </c>
      <c r="E12" s="12">
        <v>2</v>
      </c>
      <c r="F12" s="11" t="s">
        <v>36</v>
      </c>
      <c r="G12" s="13"/>
      <c r="H12" s="11" t="s">
        <v>38</v>
      </c>
      <c r="I12" s="11" t="s">
        <v>25</v>
      </c>
      <c r="J12" s="11" t="s">
        <v>54</v>
      </c>
      <c r="K12" s="11" t="s">
        <v>62</v>
      </c>
      <c r="L12" s="11" t="s">
        <v>41</v>
      </c>
      <c r="M12" s="11" t="s">
        <v>29</v>
      </c>
      <c r="N12" s="11" t="s">
        <v>83</v>
      </c>
      <c r="O12" s="11" t="s">
        <v>54</v>
      </c>
      <c r="P12" s="11" t="s">
        <v>57</v>
      </c>
      <c r="Q12" s="11" t="s">
        <v>44</v>
      </c>
      <c r="R12" s="11" t="s">
        <v>64</v>
      </c>
    </row>
    <row r="13" spans="1:18" ht="20" customHeight="1">
      <c r="A13" s="9" t="s">
        <v>84</v>
      </c>
      <c r="B13" s="10" t="s">
        <v>20</v>
      </c>
      <c r="C13" s="11" t="s">
        <v>21</v>
      </c>
      <c r="D13" s="11" t="s">
        <v>22</v>
      </c>
      <c r="E13" s="12">
        <v>3</v>
      </c>
      <c r="F13" s="11" t="s">
        <v>85</v>
      </c>
      <c r="G13" s="11" t="s">
        <v>37</v>
      </c>
      <c r="H13" s="11" t="s">
        <v>86</v>
      </c>
      <c r="I13" s="11" t="s">
        <v>48</v>
      </c>
      <c r="J13" s="11" t="s">
        <v>54</v>
      </c>
      <c r="K13" s="11" t="s">
        <v>62</v>
      </c>
      <c r="L13" s="11" t="s">
        <v>56</v>
      </c>
      <c r="M13" s="11" t="s">
        <v>67</v>
      </c>
      <c r="N13" s="11" t="s">
        <v>87</v>
      </c>
      <c r="O13" s="11" t="s">
        <v>49</v>
      </c>
      <c r="P13" s="11" t="s">
        <v>57</v>
      </c>
      <c r="Q13" s="11" t="s">
        <v>44</v>
      </c>
      <c r="R13" s="11" t="s">
        <v>59</v>
      </c>
    </row>
    <row r="14" spans="1:18" ht="20" customHeight="1">
      <c r="A14" s="9" t="s">
        <v>88</v>
      </c>
      <c r="B14" s="10" t="s">
        <v>47</v>
      </c>
      <c r="C14" s="11" t="s">
        <v>21</v>
      </c>
      <c r="D14" s="11" t="s">
        <v>22</v>
      </c>
      <c r="E14" s="12">
        <v>2</v>
      </c>
      <c r="F14" s="11" t="s">
        <v>36</v>
      </c>
      <c r="G14" s="11" t="s">
        <v>37</v>
      </c>
      <c r="H14" s="11" t="s">
        <v>78</v>
      </c>
      <c r="I14" s="11" t="s">
        <v>25</v>
      </c>
      <c r="J14" s="11" t="s">
        <v>26</v>
      </c>
      <c r="K14" s="11" t="s">
        <v>62</v>
      </c>
      <c r="L14" s="11" t="s">
        <v>66</v>
      </c>
      <c r="M14" s="11" t="s">
        <v>29</v>
      </c>
      <c r="N14" s="11" t="s">
        <v>89</v>
      </c>
      <c r="O14" s="11" t="s">
        <v>26</v>
      </c>
      <c r="P14" s="11" t="s">
        <v>43</v>
      </c>
      <c r="Q14" s="11" t="s">
        <v>51</v>
      </c>
      <c r="R14" s="11" t="s">
        <v>64</v>
      </c>
    </row>
    <row r="15" spans="1:18" ht="20" customHeight="1">
      <c r="A15" s="9" t="s">
        <v>90</v>
      </c>
      <c r="B15" s="10" t="s">
        <v>20</v>
      </c>
      <c r="C15" s="11" t="s">
        <v>21</v>
      </c>
      <c r="D15" s="11" t="s">
        <v>22</v>
      </c>
      <c r="E15" s="11" t="s">
        <v>70</v>
      </c>
      <c r="F15" s="11" t="s">
        <v>71</v>
      </c>
      <c r="G15" s="13"/>
      <c r="H15" s="11" t="s">
        <v>91</v>
      </c>
      <c r="I15" s="11" t="s">
        <v>48</v>
      </c>
      <c r="J15" s="11" t="s">
        <v>49</v>
      </c>
      <c r="K15" s="11" t="s">
        <v>40</v>
      </c>
      <c r="L15" s="11" t="s">
        <v>92</v>
      </c>
      <c r="M15" s="11" t="s">
        <v>29</v>
      </c>
      <c r="N15" s="11" t="s">
        <v>93</v>
      </c>
      <c r="O15" s="11" t="s">
        <v>49</v>
      </c>
      <c r="P15" s="11" t="s">
        <v>57</v>
      </c>
      <c r="Q15" s="13"/>
      <c r="R15" s="13"/>
    </row>
    <row r="16" spans="1:18" ht="20" customHeight="1">
      <c r="A16" s="9" t="s">
        <v>94</v>
      </c>
      <c r="B16" s="10" t="s">
        <v>20</v>
      </c>
      <c r="C16" s="11" t="s">
        <v>21</v>
      </c>
      <c r="D16" s="11" t="s">
        <v>22</v>
      </c>
      <c r="E16" s="12">
        <v>3</v>
      </c>
      <c r="F16" s="11" t="s">
        <v>36</v>
      </c>
      <c r="G16" s="11" t="s">
        <v>37</v>
      </c>
      <c r="H16" s="11" t="s">
        <v>72</v>
      </c>
      <c r="I16" s="11" t="s">
        <v>48</v>
      </c>
      <c r="J16" s="11" t="s">
        <v>26</v>
      </c>
      <c r="K16" s="11" t="s">
        <v>62</v>
      </c>
      <c r="L16" s="11" t="s">
        <v>73</v>
      </c>
      <c r="M16" s="11" t="s">
        <v>67</v>
      </c>
      <c r="N16" s="11" t="s">
        <v>68</v>
      </c>
      <c r="O16" s="11" t="s">
        <v>26</v>
      </c>
      <c r="P16" s="11" t="s">
        <v>57</v>
      </c>
      <c r="Q16" s="11" t="s">
        <v>44</v>
      </c>
      <c r="R16" s="11" t="s">
        <v>59</v>
      </c>
    </row>
    <row r="17" spans="1:18" ht="20" customHeight="1">
      <c r="A17" s="9" t="s">
        <v>95</v>
      </c>
      <c r="B17" s="10" t="s">
        <v>20</v>
      </c>
      <c r="C17" s="11" t="s">
        <v>21</v>
      </c>
      <c r="D17" s="11" t="s">
        <v>22</v>
      </c>
      <c r="E17" s="11" t="s">
        <v>96</v>
      </c>
      <c r="F17" s="11" t="s">
        <v>23</v>
      </c>
      <c r="G17" s="11" t="s">
        <v>97</v>
      </c>
      <c r="H17" s="13"/>
      <c r="I17" s="11" t="s">
        <v>25</v>
      </c>
      <c r="J17" s="11" t="s">
        <v>26</v>
      </c>
      <c r="K17" s="11" t="s">
        <v>27</v>
      </c>
      <c r="L17" s="11" t="s">
        <v>73</v>
      </c>
      <c r="M17" s="11" t="s">
        <v>29</v>
      </c>
      <c r="N17" s="11" t="s">
        <v>68</v>
      </c>
      <c r="O17" s="11" t="s">
        <v>54</v>
      </c>
      <c r="P17" s="11" t="s">
        <v>98</v>
      </c>
      <c r="Q17" s="11" t="s">
        <v>78</v>
      </c>
      <c r="R17" s="11" t="s">
        <v>45</v>
      </c>
    </row>
    <row r="18" spans="1:18" ht="20" customHeight="1">
      <c r="A18" s="9" t="s">
        <v>99</v>
      </c>
      <c r="B18" s="10" t="s">
        <v>20</v>
      </c>
      <c r="C18" s="11" t="s">
        <v>21</v>
      </c>
      <c r="D18" s="11" t="s">
        <v>22</v>
      </c>
      <c r="E18" s="12">
        <v>2</v>
      </c>
      <c r="F18" s="11" t="s">
        <v>36</v>
      </c>
      <c r="G18" s="11" t="s">
        <v>37</v>
      </c>
      <c r="H18" s="11" t="s">
        <v>38</v>
      </c>
      <c r="I18" s="11" t="s">
        <v>25</v>
      </c>
      <c r="J18" s="11" t="s">
        <v>49</v>
      </c>
      <c r="K18" s="11" t="s">
        <v>62</v>
      </c>
      <c r="L18" s="11" t="s">
        <v>73</v>
      </c>
      <c r="M18" s="11" t="s">
        <v>67</v>
      </c>
      <c r="N18" s="11" t="s">
        <v>100</v>
      </c>
      <c r="O18" s="11" t="s">
        <v>49</v>
      </c>
      <c r="P18" s="11" t="s">
        <v>57</v>
      </c>
      <c r="Q18" s="11" t="s">
        <v>58</v>
      </c>
      <c r="R18" s="11" t="s">
        <v>59</v>
      </c>
    </row>
    <row r="19" spans="1:18" ht="20" customHeight="1">
      <c r="A19" s="9" t="s">
        <v>101</v>
      </c>
      <c r="B19" s="10" t="s">
        <v>20</v>
      </c>
      <c r="C19" s="11" t="s">
        <v>21</v>
      </c>
      <c r="D19" s="11" t="s">
        <v>22</v>
      </c>
      <c r="E19" s="12">
        <v>3</v>
      </c>
      <c r="F19" s="11" t="s">
        <v>36</v>
      </c>
      <c r="G19" s="11" t="s">
        <v>37</v>
      </c>
      <c r="H19" s="11" t="s">
        <v>72</v>
      </c>
      <c r="I19" s="11" t="s">
        <v>25</v>
      </c>
      <c r="J19" s="11" t="s">
        <v>54</v>
      </c>
      <c r="K19" s="11" t="s">
        <v>62</v>
      </c>
      <c r="L19" s="11" t="s">
        <v>41</v>
      </c>
      <c r="M19" s="11" t="s">
        <v>67</v>
      </c>
      <c r="N19" s="11" t="s">
        <v>102</v>
      </c>
      <c r="O19" s="11" t="s">
        <v>49</v>
      </c>
      <c r="P19" s="11" t="s">
        <v>57</v>
      </c>
      <c r="Q19" s="11" t="s">
        <v>58</v>
      </c>
      <c r="R19" s="11" t="s">
        <v>52</v>
      </c>
    </row>
    <row r="20" spans="1:18" ht="20" customHeight="1">
      <c r="A20" s="9" t="s">
        <v>103</v>
      </c>
      <c r="B20" s="10" t="s">
        <v>47</v>
      </c>
      <c r="C20" s="11" t="s">
        <v>21</v>
      </c>
      <c r="D20" s="11" t="s">
        <v>22</v>
      </c>
      <c r="E20" s="12">
        <v>2</v>
      </c>
      <c r="F20" s="11" t="s">
        <v>36</v>
      </c>
      <c r="G20" s="11" t="s">
        <v>37</v>
      </c>
      <c r="H20" s="11" t="s">
        <v>38</v>
      </c>
      <c r="I20" s="11" t="s">
        <v>25</v>
      </c>
      <c r="J20" s="11" t="s">
        <v>49</v>
      </c>
      <c r="K20" s="11" t="s">
        <v>40</v>
      </c>
      <c r="L20" s="11" t="s">
        <v>41</v>
      </c>
      <c r="M20" s="11" t="s">
        <v>67</v>
      </c>
      <c r="N20" s="11" t="s">
        <v>78</v>
      </c>
      <c r="O20" s="11" t="s">
        <v>54</v>
      </c>
      <c r="P20" s="11" t="s">
        <v>57</v>
      </c>
      <c r="Q20" s="11" t="s">
        <v>78</v>
      </c>
      <c r="R20" s="11" t="s">
        <v>78</v>
      </c>
    </row>
    <row r="21" spans="1:18" ht="20" customHeight="1">
      <c r="A21" s="9" t="s">
        <v>104</v>
      </c>
      <c r="B21" s="10" t="s">
        <v>20</v>
      </c>
      <c r="C21" s="11" t="s">
        <v>21</v>
      </c>
      <c r="D21" s="11" t="s">
        <v>22</v>
      </c>
      <c r="E21" s="12">
        <v>4</v>
      </c>
      <c r="F21" s="11" t="s">
        <v>36</v>
      </c>
      <c r="G21" s="11" t="s">
        <v>37</v>
      </c>
      <c r="H21" s="11" t="s">
        <v>78</v>
      </c>
      <c r="I21" s="11" t="s">
        <v>25</v>
      </c>
      <c r="J21" s="11" t="s">
        <v>54</v>
      </c>
      <c r="K21" s="11" t="s">
        <v>55</v>
      </c>
      <c r="L21" s="11" t="s">
        <v>73</v>
      </c>
      <c r="M21" s="11" t="s">
        <v>29</v>
      </c>
      <c r="N21" s="11" t="s">
        <v>93</v>
      </c>
      <c r="O21" s="11" t="s">
        <v>54</v>
      </c>
      <c r="P21" s="11" t="s">
        <v>57</v>
      </c>
      <c r="Q21" s="11" t="s">
        <v>44</v>
      </c>
      <c r="R21" s="11" t="s">
        <v>78</v>
      </c>
    </row>
    <row r="22" spans="1:18" ht="20" customHeight="1">
      <c r="A22" s="9" t="s">
        <v>105</v>
      </c>
      <c r="B22" s="10" t="s">
        <v>20</v>
      </c>
      <c r="C22" s="11" t="s">
        <v>21</v>
      </c>
      <c r="D22" s="11" t="s">
        <v>22</v>
      </c>
      <c r="E22" s="12">
        <v>2</v>
      </c>
      <c r="F22" s="11" t="s">
        <v>23</v>
      </c>
      <c r="G22" s="11" t="s">
        <v>37</v>
      </c>
      <c r="H22" s="11" t="s">
        <v>106</v>
      </c>
      <c r="I22" s="11" t="s">
        <v>25</v>
      </c>
      <c r="J22" s="11" t="s">
        <v>54</v>
      </c>
      <c r="K22" s="11" t="s">
        <v>80</v>
      </c>
      <c r="L22" s="11" t="s">
        <v>92</v>
      </c>
      <c r="M22" s="11" t="s">
        <v>29</v>
      </c>
      <c r="N22" s="11" t="s">
        <v>78</v>
      </c>
      <c r="O22" s="11" t="s">
        <v>49</v>
      </c>
      <c r="P22" s="11" t="s">
        <v>107</v>
      </c>
      <c r="Q22" s="11" t="s">
        <v>51</v>
      </c>
      <c r="R22" s="11" t="s">
        <v>52</v>
      </c>
    </row>
    <row r="23" spans="1:18" ht="20" customHeight="1">
      <c r="A23" s="9" t="s">
        <v>108</v>
      </c>
      <c r="B23" s="10" t="s">
        <v>20</v>
      </c>
      <c r="C23" s="11" t="s">
        <v>21</v>
      </c>
      <c r="D23" s="11" t="s">
        <v>22</v>
      </c>
      <c r="E23" s="12">
        <v>3</v>
      </c>
      <c r="F23" s="11" t="s">
        <v>23</v>
      </c>
      <c r="G23" s="11" t="s">
        <v>61</v>
      </c>
      <c r="H23" s="13"/>
      <c r="I23" s="11" t="s">
        <v>25</v>
      </c>
      <c r="J23" s="11" t="s">
        <v>26</v>
      </c>
      <c r="K23" s="11" t="s">
        <v>55</v>
      </c>
      <c r="L23" s="11" t="s">
        <v>41</v>
      </c>
      <c r="M23" s="11" t="s">
        <v>29</v>
      </c>
      <c r="N23" s="11" t="s">
        <v>109</v>
      </c>
      <c r="O23" s="11" t="s">
        <v>54</v>
      </c>
      <c r="P23" s="11" t="s">
        <v>57</v>
      </c>
      <c r="Q23" s="11" t="s">
        <v>58</v>
      </c>
      <c r="R23" s="11" t="s">
        <v>45</v>
      </c>
    </row>
    <row r="24" spans="1:18" ht="20" customHeight="1">
      <c r="A24" s="9" t="s">
        <v>110</v>
      </c>
      <c r="B24" s="10" t="s">
        <v>20</v>
      </c>
      <c r="C24" s="11" t="s">
        <v>21</v>
      </c>
      <c r="D24" s="11" t="s">
        <v>22</v>
      </c>
      <c r="E24" s="12">
        <v>3</v>
      </c>
      <c r="F24" s="11" t="s">
        <v>23</v>
      </c>
      <c r="G24" s="11" t="s">
        <v>61</v>
      </c>
      <c r="H24" s="13"/>
      <c r="I24" s="11" t="s">
        <v>25</v>
      </c>
      <c r="J24" s="11" t="s">
        <v>54</v>
      </c>
      <c r="K24" s="11" t="s">
        <v>55</v>
      </c>
      <c r="L24" s="11" t="s">
        <v>73</v>
      </c>
      <c r="M24" s="11" t="s">
        <v>29</v>
      </c>
      <c r="N24" s="11" t="s">
        <v>111</v>
      </c>
      <c r="O24" s="11" t="s">
        <v>26</v>
      </c>
      <c r="P24" s="11" t="s">
        <v>57</v>
      </c>
      <c r="Q24" s="11" t="s">
        <v>51</v>
      </c>
      <c r="R24" s="11" t="s">
        <v>45</v>
      </c>
    </row>
    <row r="25" spans="1:18" ht="20" customHeight="1">
      <c r="A25" s="9" t="s">
        <v>112</v>
      </c>
      <c r="B25" s="10" t="s">
        <v>20</v>
      </c>
      <c r="C25" s="11" t="s">
        <v>21</v>
      </c>
      <c r="D25" s="11" t="s">
        <v>22</v>
      </c>
      <c r="E25" s="12">
        <v>3</v>
      </c>
      <c r="F25" s="11" t="s">
        <v>36</v>
      </c>
      <c r="G25" s="11" t="s">
        <v>37</v>
      </c>
      <c r="H25" s="11" t="s">
        <v>38</v>
      </c>
      <c r="I25" s="11" t="s">
        <v>48</v>
      </c>
      <c r="J25" s="11" t="s">
        <v>54</v>
      </c>
      <c r="K25" s="11" t="s">
        <v>55</v>
      </c>
      <c r="L25" s="11" t="s">
        <v>73</v>
      </c>
      <c r="M25" s="11" t="s">
        <v>67</v>
      </c>
      <c r="N25" s="11" t="s">
        <v>113</v>
      </c>
      <c r="O25" s="11" t="s">
        <v>54</v>
      </c>
      <c r="P25" s="11" t="s">
        <v>57</v>
      </c>
      <c r="Q25" s="11" t="s">
        <v>78</v>
      </c>
      <c r="R25" s="11" t="s">
        <v>52</v>
      </c>
    </row>
    <row r="26" spans="1:18" ht="20" customHeight="1">
      <c r="A26" s="9" t="s">
        <v>114</v>
      </c>
      <c r="B26" s="10" t="s">
        <v>20</v>
      </c>
      <c r="C26" s="11" t="s">
        <v>21</v>
      </c>
      <c r="D26" s="11" t="s">
        <v>22</v>
      </c>
      <c r="E26" s="12">
        <v>2</v>
      </c>
      <c r="F26" s="11" t="s">
        <v>36</v>
      </c>
      <c r="G26" s="11" t="s">
        <v>37</v>
      </c>
      <c r="H26" s="11" t="s">
        <v>115</v>
      </c>
      <c r="I26" s="11" t="s">
        <v>25</v>
      </c>
      <c r="J26" s="11" t="s">
        <v>49</v>
      </c>
      <c r="K26" s="11" t="s">
        <v>55</v>
      </c>
      <c r="L26" s="11" t="s">
        <v>56</v>
      </c>
      <c r="M26" s="11" t="s">
        <v>29</v>
      </c>
      <c r="N26" s="11" t="s">
        <v>116</v>
      </c>
      <c r="O26" s="11" t="s">
        <v>54</v>
      </c>
      <c r="P26" s="11" t="s">
        <v>57</v>
      </c>
      <c r="Q26" s="11" t="s">
        <v>44</v>
      </c>
      <c r="R26" s="11" t="s">
        <v>52</v>
      </c>
    </row>
    <row r="27" spans="1:18" ht="20" customHeight="1">
      <c r="A27" s="9" t="s">
        <v>117</v>
      </c>
      <c r="B27" s="10" t="s">
        <v>20</v>
      </c>
      <c r="C27" s="11" t="s">
        <v>21</v>
      </c>
      <c r="D27" s="11" t="s">
        <v>22</v>
      </c>
      <c r="E27" s="12">
        <v>3</v>
      </c>
      <c r="F27" s="11" t="s">
        <v>23</v>
      </c>
      <c r="G27" s="11" t="s">
        <v>61</v>
      </c>
      <c r="H27" s="11" t="s">
        <v>76</v>
      </c>
      <c r="I27" s="11" t="s">
        <v>39</v>
      </c>
      <c r="J27" s="11" t="s">
        <v>54</v>
      </c>
      <c r="K27" s="11" t="s">
        <v>40</v>
      </c>
      <c r="L27" s="11" t="s">
        <v>73</v>
      </c>
      <c r="M27" s="11" t="s">
        <v>67</v>
      </c>
      <c r="N27" s="11" t="s">
        <v>118</v>
      </c>
      <c r="O27" s="11" t="s">
        <v>31</v>
      </c>
      <c r="P27" s="11" t="s">
        <v>43</v>
      </c>
      <c r="Q27" s="11" t="s">
        <v>58</v>
      </c>
      <c r="R27" s="11" t="s">
        <v>45</v>
      </c>
    </row>
    <row r="28" spans="1:18" ht="20" customHeight="1">
      <c r="A28" s="9" t="s">
        <v>119</v>
      </c>
      <c r="B28" s="10" t="s">
        <v>20</v>
      </c>
      <c r="C28" s="11" t="s">
        <v>21</v>
      </c>
      <c r="D28" s="11" t="s">
        <v>22</v>
      </c>
      <c r="E28" s="12">
        <v>3</v>
      </c>
      <c r="F28" s="11" t="s">
        <v>23</v>
      </c>
      <c r="G28" s="11" t="s">
        <v>61</v>
      </c>
      <c r="H28" s="13"/>
      <c r="I28" s="11" t="s">
        <v>25</v>
      </c>
      <c r="J28" s="11" t="s">
        <v>54</v>
      </c>
      <c r="K28" s="11" t="s">
        <v>27</v>
      </c>
      <c r="L28" s="11" t="s">
        <v>73</v>
      </c>
      <c r="M28" s="11" t="s">
        <v>67</v>
      </c>
      <c r="N28" s="11" t="s">
        <v>118</v>
      </c>
      <c r="O28" s="11" t="s">
        <v>31</v>
      </c>
      <c r="P28" s="11" t="s">
        <v>32</v>
      </c>
      <c r="Q28" s="11" t="s">
        <v>33</v>
      </c>
      <c r="R28" s="11" t="s">
        <v>34</v>
      </c>
    </row>
    <row r="29" spans="1:18" ht="20" customHeight="1">
      <c r="A29" s="9" t="s">
        <v>120</v>
      </c>
      <c r="B29" s="10" t="s">
        <v>47</v>
      </c>
      <c r="C29" s="11" t="s">
        <v>21</v>
      </c>
      <c r="D29" s="11" t="s">
        <v>22</v>
      </c>
      <c r="E29" s="11" t="s">
        <v>70</v>
      </c>
      <c r="F29" s="11" t="s">
        <v>36</v>
      </c>
      <c r="G29" s="11" t="s">
        <v>61</v>
      </c>
      <c r="H29" s="11" t="s">
        <v>38</v>
      </c>
      <c r="I29" s="11" t="s">
        <v>48</v>
      </c>
      <c r="J29" s="11" t="s">
        <v>26</v>
      </c>
      <c r="K29" s="11" t="s">
        <v>55</v>
      </c>
      <c r="L29" s="11" t="s">
        <v>73</v>
      </c>
      <c r="M29" s="11" t="s">
        <v>67</v>
      </c>
      <c r="N29" s="11" t="s">
        <v>30</v>
      </c>
      <c r="O29" s="11" t="s">
        <v>54</v>
      </c>
      <c r="P29" s="11" t="s">
        <v>43</v>
      </c>
      <c r="Q29" s="11" t="s">
        <v>33</v>
      </c>
      <c r="R29" s="11" t="s">
        <v>52</v>
      </c>
    </row>
    <row r="30" spans="1:18" ht="20" customHeight="1">
      <c r="A30" s="9" t="s">
        <v>121</v>
      </c>
      <c r="B30" s="10" t="s">
        <v>20</v>
      </c>
      <c r="C30" s="11" t="s">
        <v>21</v>
      </c>
      <c r="D30" s="11" t="s">
        <v>122</v>
      </c>
      <c r="E30" s="12">
        <v>3</v>
      </c>
      <c r="F30" s="11" t="s">
        <v>36</v>
      </c>
      <c r="G30" s="11" t="s">
        <v>37</v>
      </c>
      <c r="H30" s="11" t="s">
        <v>38</v>
      </c>
      <c r="I30" s="11" t="s">
        <v>25</v>
      </c>
      <c r="J30" s="11" t="s">
        <v>26</v>
      </c>
      <c r="K30" s="11" t="s">
        <v>55</v>
      </c>
      <c r="L30" s="11" t="s">
        <v>73</v>
      </c>
      <c r="M30" s="11" t="s">
        <v>67</v>
      </c>
      <c r="N30" s="11" t="s">
        <v>123</v>
      </c>
      <c r="O30" s="11" t="s">
        <v>49</v>
      </c>
      <c r="P30" s="11" t="s">
        <v>57</v>
      </c>
      <c r="Q30" s="11" t="s">
        <v>44</v>
      </c>
      <c r="R30" s="11" t="s">
        <v>52</v>
      </c>
    </row>
    <row r="31" spans="1:18" ht="20" customHeight="1">
      <c r="A31" s="9" t="s">
        <v>124</v>
      </c>
      <c r="B31" s="10" t="s">
        <v>20</v>
      </c>
      <c r="C31" s="11" t="s">
        <v>21</v>
      </c>
      <c r="D31" s="11" t="s">
        <v>122</v>
      </c>
      <c r="E31" s="11" t="s">
        <v>70</v>
      </c>
      <c r="F31" s="11" t="s">
        <v>23</v>
      </c>
      <c r="G31" s="11" t="s">
        <v>37</v>
      </c>
      <c r="H31" s="13"/>
      <c r="I31" s="11" t="s">
        <v>25</v>
      </c>
      <c r="J31" s="11" t="s">
        <v>49</v>
      </c>
      <c r="K31" s="11" t="s">
        <v>55</v>
      </c>
      <c r="L31" s="11" t="s">
        <v>73</v>
      </c>
      <c r="M31" s="11" t="s">
        <v>67</v>
      </c>
      <c r="N31" s="11" t="s">
        <v>68</v>
      </c>
      <c r="O31" s="11" t="s">
        <v>54</v>
      </c>
      <c r="P31" s="11" t="s">
        <v>57</v>
      </c>
      <c r="Q31" s="11" t="s">
        <v>33</v>
      </c>
      <c r="R31" s="11" t="s">
        <v>45</v>
      </c>
    </row>
    <row r="32" spans="1:18" ht="20" customHeight="1">
      <c r="A32" s="9" t="s">
        <v>125</v>
      </c>
      <c r="B32" s="10" t="s">
        <v>20</v>
      </c>
      <c r="C32" s="11" t="s">
        <v>21</v>
      </c>
      <c r="D32" s="11" t="s">
        <v>122</v>
      </c>
      <c r="E32" s="12">
        <v>3</v>
      </c>
      <c r="F32" s="11" t="s">
        <v>23</v>
      </c>
      <c r="G32" s="11" t="s">
        <v>61</v>
      </c>
      <c r="H32" s="11" t="s">
        <v>126</v>
      </c>
      <c r="I32" s="11" t="s">
        <v>39</v>
      </c>
      <c r="J32" s="11" t="s">
        <v>26</v>
      </c>
      <c r="K32" s="11" t="s">
        <v>27</v>
      </c>
      <c r="L32" s="11" t="s">
        <v>66</v>
      </c>
      <c r="M32" s="11" t="s">
        <v>67</v>
      </c>
      <c r="N32" s="11" t="s">
        <v>111</v>
      </c>
      <c r="O32" s="11" t="s">
        <v>54</v>
      </c>
      <c r="P32" s="11" t="s">
        <v>32</v>
      </c>
      <c r="Q32" s="11" t="s">
        <v>127</v>
      </c>
      <c r="R32" s="11" t="s">
        <v>45</v>
      </c>
    </row>
    <row r="33" spans="1:18" ht="20" customHeight="1">
      <c r="A33" s="9" t="s">
        <v>128</v>
      </c>
      <c r="B33" s="10" t="s">
        <v>20</v>
      </c>
      <c r="C33" s="11" t="s">
        <v>21</v>
      </c>
      <c r="D33" s="11" t="s">
        <v>122</v>
      </c>
      <c r="E33" s="12">
        <v>2</v>
      </c>
      <c r="F33" s="11" t="s">
        <v>23</v>
      </c>
      <c r="G33" s="11" t="s">
        <v>61</v>
      </c>
      <c r="H33" s="11" t="s">
        <v>38</v>
      </c>
      <c r="I33" s="11" t="s">
        <v>25</v>
      </c>
      <c r="J33" s="11" t="s">
        <v>49</v>
      </c>
      <c r="K33" s="11" t="s">
        <v>62</v>
      </c>
      <c r="L33" s="11" t="s">
        <v>73</v>
      </c>
      <c r="M33" s="11" t="s">
        <v>67</v>
      </c>
      <c r="N33" s="11" t="s">
        <v>129</v>
      </c>
      <c r="O33" s="11" t="s">
        <v>49</v>
      </c>
      <c r="P33" s="11" t="s">
        <v>43</v>
      </c>
      <c r="Q33" s="11" t="s">
        <v>44</v>
      </c>
      <c r="R33" s="11" t="s">
        <v>34</v>
      </c>
    </row>
    <row r="34" spans="1:18" ht="20" customHeight="1">
      <c r="A34" s="9" t="s">
        <v>130</v>
      </c>
      <c r="B34" s="10" t="s">
        <v>20</v>
      </c>
      <c r="C34" s="11" t="s">
        <v>21</v>
      </c>
      <c r="D34" s="11" t="s">
        <v>122</v>
      </c>
      <c r="E34" s="11" t="s">
        <v>70</v>
      </c>
      <c r="F34" s="11" t="s">
        <v>23</v>
      </c>
      <c r="G34" s="11" t="s">
        <v>37</v>
      </c>
      <c r="H34" s="11" t="s">
        <v>72</v>
      </c>
      <c r="I34" s="11" t="s">
        <v>25</v>
      </c>
      <c r="J34" s="11" t="s">
        <v>49</v>
      </c>
      <c r="K34" s="11" t="s">
        <v>40</v>
      </c>
      <c r="L34" s="11" t="s">
        <v>73</v>
      </c>
      <c r="M34" s="11" t="s">
        <v>67</v>
      </c>
      <c r="N34" s="11" t="s">
        <v>74</v>
      </c>
      <c r="O34" s="11" t="s">
        <v>49</v>
      </c>
      <c r="P34" s="11" t="s">
        <v>57</v>
      </c>
      <c r="Q34" s="11" t="s">
        <v>44</v>
      </c>
      <c r="R34" s="11" t="s">
        <v>52</v>
      </c>
    </row>
    <row r="35" spans="1:18" ht="20" customHeight="1">
      <c r="A35" s="9" t="s">
        <v>131</v>
      </c>
      <c r="B35" s="10" t="s">
        <v>20</v>
      </c>
      <c r="C35" s="11" t="s">
        <v>21</v>
      </c>
      <c r="D35" s="11" t="s">
        <v>122</v>
      </c>
      <c r="E35" s="12">
        <v>2</v>
      </c>
      <c r="F35" s="11" t="s">
        <v>23</v>
      </c>
      <c r="G35" s="11" t="s">
        <v>61</v>
      </c>
      <c r="H35" s="13"/>
      <c r="I35" s="11" t="s">
        <v>25</v>
      </c>
      <c r="J35" s="11" t="s">
        <v>26</v>
      </c>
      <c r="K35" s="11" t="s">
        <v>40</v>
      </c>
      <c r="L35" s="11" t="s">
        <v>41</v>
      </c>
      <c r="M35" s="11" t="s">
        <v>29</v>
      </c>
      <c r="N35" s="11" t="s">
        <v>132</v>
      </c>
      <c r="O35" s="11" t="s">
        <v>54</v>
      </c>
      <c r="P35" s="11" t="s">
        <v>57</v>
      </c>
      <c r="Q35" s="11" t="s">
        <v>33</v>
      </c>
      <c r="R35" s="11" t="s">
        <v>59</v>
      </c>
    </row>
    <row r="36" spans="1:18" ht="20" customHeight="1">
      <c r="A36" s="9" t="s">
        <v>133</v>
      </c>
      <c r="B36" s="10" t="s">
        <v>20</v>
      </c>
      <c r="C36" s="11" t="s">
        <v>21</v>
      </c>
      <c r="D36" s="11" t="s">
        <v>122</v>
      </c>
      <c r="E36" s="12">
        <v>2</v>
      </c>
      <c r="F36" s="11" t="s">
        <v>36</v>
      </c>
      <c r="G36" s="11" t="s">
        <v>37</v>
      </c>
      <c r="H36" s="11" t="s">
        <v>72</v>
      </c>
      <c r="I36" s="11" t="s">
        <v>25</v>
      </c>
      <c r="J36" s="11" t="s">
        <v>49</v>
      </c>
      <c r="K36" s="11" t="s">
        <v>55</v>
      </c>
      <c r="L36" s="11" t="s">
        <v>73</v>
      </c>
      <c r="M36" s="11" t="s">
        <v>67</v>
      </c>
      <c r="N36" s="11" t="s">
        <v>134</v>
      </c>
      <c r="O36" s="11" t="s">
        <v>49</v>
      </c>
      <c r="P36" s="11" t="s">
        <v>57</v>
      </c>
      <c r="Q36" s="11" t="s">
        <v>78</v>
      </c>
      <c r="R36" s="11" t="s">
        <v>64</v>
      </c>
    </row>
    <row r="37" spans="1:18" ht="20" customHeight="1">
      <c r="A37" s="9" t="s">
        <v>135</v>
      </c>
      <c r="B37" s="10" t="s">
        <v>20</v>
      </c>
      <c r="C37" s="11" t="s">
        <v>21</v>
      </c>
      <c r="D37" s="11" t="s">
        <v>122</v>
      </c>
      <c r="E37" s="12">
        <v>3</v>
      </c>
      <c r="F37" s="11" t="s">
        <v>23</v>
      </c>
      <c r="G37" s="11" t="s">
        <v>61</v>
      </c>
      <c r="H37" s="13"/>
      <c r="I37" s="11" t="s">
        <v>25</v>
      </c>
      <c r="J37" s="11" t="s">
        <v>54</v>
      </c>
      <c r="K37" s="11" t="s">
        <v>62</v>
      </c>
      <c r="L37" s="11" t="s">
        <v>41</v>
      </c>
      <c r="M37" s="11" t="s">
        <v>29</v>
      </c>
      <c r="N37" s="11" t="s">
        <v>78</v>
      </c>
      <c r="O37" s="11" t="s">
        <v>54</v>
      </c>
      <c r="P37" s="11" t="s">
        <v>57</v>
      </c>
      <c r="Q37" s="11" t="s">
        <v>33</v>
      </c>
      <c r="R37" s="11" t="s">
        <v>64</v>
      </c>
    </row>
    <row r="38" spans="1:18" ht="20" customHeight="1">
      <c r="A38" s="9" t="s">
        <v>136</v>
      </c>
      <c r="B38" s="10" t="s">
        <v>20</v>
      </c>
      <c r="C38" s="11" t="s">
        <v>21</v>
      </c>
      <c r="D38" s="11" t="s">
        <v>137</v>
      </c>
      <c r="E38" s="12">
        <v>4</v>
      </c>
      <c r="F38" s="11" t="s">
        <v>23</v>
      </c>
      <c r="G38" s="11" t="s">
        <v>61</v>
      </c>
      <c r="H38" s="11" t="s">
        <v>126</v>
      </c>
      <c r="I38" s="11" t="s">
        <v>25</v>
      </c>
      <c r="J38" s="11" t="s">
        <v>26</v>
      </c>
      <c r="K38" s="11" t="s">
        <v>55</v>
      </c>
      <c r="L38" s="11" t="s">
        <v>73</v>
      </c>
      <c r="M38" s="11" t="s">
        <v>67</v>
      </c>
      <c r="N38" s="11" t="s">
        <v>118</v>
      </c>
      <c r="O38" s="11" t="s">
        <v>49</v>
      </c>
      <c r="P38" s="11" t="s">
        <v>57</v>
      </c>
      <c r="Q38" s="11" t="s">
        <v>44</v>
      </c>
      <c r="R38" s="11" t="s">
        <v>52</v>
      </c>
    </row>
    <row r="39" spans="1:18" ht="20" customHeight="1">
      <c r="A39" s="9" t="s">
        <v>138</v>
      </c>
      <c r="B39" s="10" t="s">
        <v>20</v>
      </c>
      <c r="C39" s="11" t="s">
        <v>21</v>
      </c>
      <c r="D39" s="11" t="s">
        <v>137</v>
      </c>
      <c r="E39" s="12">
        <v>4</v>
      </c>
      <c r="F39" s="11" t="s">
        <v>23</v>
      </c>
      <c r="G39" s="11" t="s">
        <v>61</v>
      </c>
      <c r="H39" s="11" t="s">
        <v>139</v>
      </c>
      <c r="I39" s="11" t="s">
        <v>25</v>
      </c>
      <c r="J39" s="11" t="s">
        <v>49</v>
      </c>
      <c r="K39" s="11" t="s">
        <v>62</v>
      </c>
      <c r="L39" s="11" t="s">
        <v>41</v>
      </c>
      <c r="M39" s="11" t="s">
        <v>67</v>
      </c>
      <c r="N39" s="11" t="s">
        <v>118</v>
      </c>
      <c r="O39" s="11" t="s">
        <v>49</v>
      </c>
      <c r="P39" s="11" t="s">
        <v>57</v>
      </c>
      <c r="Q39" s="11" t="s">
        <v>44</v>
      </c>
      <c r="R39" s="11" t="s">
        <v>52</v>
      </c>
    </row>
    <row r="40" spans="1:18" ht="20" customHeight="1">
      <c r="A40" s="9" t="s">
        <v>140</v>
      </c>
      <c r="B40" s="10" t="s">
        <v>20</v>
      </c>
      <c r="C40" s="11" t="s">
        <v>21</v>
      </c>
      <c r="D40" s="11" t="s">
        <v>122</v>
      </c>
      <c r="E40" s="12">
        <v>2</v>
      </c>
      <c r="F40" s="11" t="s">
        <v>23</v>
      </c>
      <c r="G40" s="11" t="s">
        <v>37</v>
      </c>
      <c r="H40" s="13"/>
      <c r="I40" s="11" t="s">
        <v>141</v>
      </c>
      <c r="J40" s="11" t="s">
        <v>26</v>
      </c>
      <c r="K40" s="11" t="s">
        <v>55</v>
      </c>
      <c r="L40" s="11" t="s">
        <v>73</v>
      </c>
      <c r="M40" s="11" t="s">
        <v>29</v>
      </c>
      <c r="N40" s="11" t="s">
        <v>93</v>
      </c>
      <c r="O40" s="11" t="s">
        <v>26</v>
      </c>
      <c r="P40" s="11" t="s">
        <v>98</v>
      </c>
      <c r="Q40" s="11" t="s">
        <v>58</v>
      </c>
      <c r="R40" s="11" t="s">
        <v>45</v>
      </c>
    </row>
    <row r="41" spans="1:18" ht="20" customHeight="1">
      <c r="A41" s="9" t="s">
        <v>142</v>
      </c>
      <c r="B41" s="10" t="s">
        <v>20</v>
      </c>
      <c r="C41" s="11" t="s">
        <v>21</v>
      </c>
      <c r="D41" s="11" t="s">
        <v>122</v>
      </c>
      <c r="E41" s="12">
        <v>3</v>
      </c>
      <c r="F41" s="11" t="s">
        <v>36</v>
      </c>
      <c r="G41" s="11" t="s">
        <v>37</v>
      </c>
      <c r="H41" s="11" t="s">
        <v>78</v>
      </c>
      <c r="I41" s="11" t="s">
        <v>25</v>
      </c>
      <c r="J41" s="11" t="s">
        <v>26</v>
      </c>
      <c r="K41" s="11" t="s">
        <v>27</v>
      </c>
      <c r="L41" s="11" t="s">
        <v>41</v>
      </c>
      <c r="M41" s="11" t="s">
        <v>67</v>
      </c>
      <c r="N41" s="11" t="s">
        <v>143</v>
      </c>
      <c r="O41" s="11" t="s">
        <v>54</v>
      </c>
      <c r="P41" s="11" t="s">
        <v>57</v>
      </c>
      <c r="Q41" s="11" t="s">
        <v>33</v>
      </c>
      <c r="R41" s="11" t="s">
        <v>52</v>
      </c>
    </row>
    <row r="42" spans="1:18" ht="20" customHeight="1">
      <c r="A42" s="9" t="s">
        <v>144</v>
      </c>
      <c r="B42" s="10" t="s">
        <v>20</v>
      </c>
      <c r="C42" s="11" t="s">
        <v>21</v>
      </c>
      <c r="D42" s="11" t="s">
        <v>122</v>
      </c>
      <c r="E42" s="12">
        <v>2</v>
      </c>
      <c r="F42" s="11" t="s">
        <v>23</v>
      </c>
      <c r="G42" s="11" t="s">
        <v>37</v>
      </c>
      <c r="H42" s="11" t="s">
        <v>145</v>
      </c>
      <c r="I42" s="11" t="s">
        <v>48</v>
      </c>
      <c r="J42" s="11" t="s">
        <v>49</v>
      </c>
      <c r="K42" s="11" t="s">
        <v>62</v>
      </c>
      <c r="L42" s="11" t="s">
        <v>66</v>
      </c>
      <c r="M42" s="11" t="s">
        <v>29</v>
      </c>
      <c r="N42" s="11" t="s">
        <v>146</v>
      </c>
      <c r="O42" s="11" t="s">
        <v>49</v>
      </c>
      <c r="P42" s="11" t="s">
        <v>57</v>
      </c>
      <c r="Q42" s="11" t="s">
        <v>33</v>
      </c>
      <c r="R42" s="11" t="s">
        <v>52</v>
      </c>
    </row>
    <row r="43" spans="1:18" ht="20" customHeight="1">
      <c r="A43" s="9" t="s">
        <v>147</v>
      </c>
      <c r="B43" s="10" t="s">
        <v>20</v>
      </c>
      <c r="C43" s="11" t="s">
        <v>21</v>
      </c>
      <c r="D43" s="11" t="s">
        <v>122</v>
      </c>
      <c r="E43" s="12">
        <v>2</v>
      </c>
      <c r="F43" s="11" t="s">
        <v>36</v>
      </c>
      <c r="G43" s="11" t="s">
        <v>37</v>
      </c>
      <c r="H43" s="11" t="s">
        <v>148</v>
      </c>
      <c r="I43" s="11" t="s">
        <v>39</v>
      </c>
      <c r="J43" s="11" t="s">
        <v>49</v>
      </c>
      <c r="K43" s="11" t="s">
        <v>62</v>
      </c>
      <c r="L43" s="11" t="s">
        <v>73</v>
      </c>
      <c r="M43" s="11" t="s">
        <v>29</v>
      </c>
      <c r="N43" s="11" t="s">
        <v>146</v>
      </c>
      <c r="O43" s="11" t="s">
        <v>49</v>
      </c>
      <c r="P43" s="11" t="s">
        <v>57</v>
      </c>
      <c r="Q43" s="11" t="s">
        <v>127</v>
      </c>
      <c r="R43" s="11" t="s">
        <v>52</v>
      </c>
    </row>
    <row r="44" spans="1:18" ht="20" customHeight="1">
      <c r="A44" s="9" t="s">
        <v>149</v>
      </c>
      <c r="B44" s="10" t="s">
        <v>20</v>
      </c>
      <c r="C44" s="11" t="s">
        <v>21</v>
      </c>
      <c r="D44" s="11" t="s">
        <v>122</v>
      </c>
      <c r="E44" s="12">
        <v>3</v>
      </c>
      <c r="F44" s="11" t="s">
        <v>36</v>
      </c>
      <c r="G44" s="11" t="s">
        <v>37</v>
      </c>
      <c r="H44" s="11" t="s">
        <v>145</v>
      </c>
      <c r="I44" s="11" t="s">
        <v>25</v>
      </c>
      <c r="J44" s="11" t="s">
        <v>54</v>
      </c>
      <c r="K44" s="11" t="s">
        <v>62</v>
      </c>
      <c r="L44" s="11" t="s">
        <v>73</v>
      </c>
      <c r="M44" s="11" t="s">
        <v>67</v>
      </c>
      <c r="N44" s="11" t="s">
        <v>93</v>
      </c>
      <c r="O44" s="11" t="s">
        <v>54</v>
      </c>
      <c r="P44" s="11" t="s">
        <v>57</v>
      </c>
      <c r="Q44" s="11" t="s">
        <v>78</v>
      </c>
      <c r="R44" s="11" t="s">
        <v>64</v>
      </c>
    </row>
    <row r="45" spans="1:18" ht="20" customHeight="1">
      <c r="A45" s="9" t="s">
        <v>150</v>
      </c>
      <c r="B45" s="10" t="s">
        <v>20</v>
      </c>
      <c r="C45" s="11" t="s">
        <v>21</v>
      </c>
      <c r="D45" s="11" t="s">
        <v>122</v>
      </c>
      <c r="E45" s="12">
        <v>2</v>
      </c>
      <c r="F45" s="11" t="s">
        <v>23</v>
      </c>
      <c r="G45" s="11" t="s">
        <v>61</v>
      </c>
      <c r="H45" s="13"/>
      <c r="I45" s="11" t="s">
        <v>25</v>
      </c>
      <c r="J45" s="11" t="s">
        <v>54</v>
      </c>
      <c r="K45" s="11" t="s">
        <v>62</v>
      </c>
      <c r="L45" s="11" t="s">
        <v>73</v>
      </c>
      <c r="M45" s="11" t="s">
        <v>67</v>
      </c>
      <c r="N45" s="11" t="s">
        <v>30</v>
      </c>
      <c r="O45" s="11" t="s">
        <v>54</v>
      </c>
      <c r="P45" s="11" t="s">
        <v>57</v>
      </c>
      <c r="Q45" s="11" t="s">
        <v>51</v>
      </c>
      <c r="R45" s="11" t="s">
        <v>45</v>
      </c>
    </row>
    <row r="46" spans="1:18" ht="20" customHeight="1">
      <c r="A46" s="9" t="s">
        <v>151</v>
      </c>
      <c r="B46" s="10" t="s">
        <v>20</v>
      </c>
      <c r="C46" s="11" t="s">
        <v>21</v>
      </c>
      <c r="D46" s="11" t="s">
        <v>152</v>
      </c>
      <c r="E46" s="12">
        <v>4</v>
      </c>
      <c r="F46" s="11" t="s">
        <v>36</v>
      </c>
      <c r="G46" s="11" t="s">
        <v>37</v>
      </c>
      <c r="H46" s="11" t="s">
        <v>72</v>
      </c>
      <c r="I46" s="11" t="s">
        <v>141</v>
      </c>
      <c r="J46" s="11" t="s">
        <v>54</v>
      </c>
      <c r="K46" s="11" t="s">
        <v>55</v>
      </c>
      <c r="L46" s="11" t="s">
        <v>41</v>
      </c>
      <c r="M46" s="11" t="s">
        <v>21</v>
      </c>
      <c r="N46" s="11" t="s">
        <v>153</v>
      </c>
      <c r="O46" s="11" t="s">
        <v>49</v>
      </c>
      <c r="P46" s="11" t="s">
        <v>57</v>
      </c>
      <c r="Q46" s="11" t="s">
        <v>127</v>
      </c>
      <c r="R46" s="11" t="s">
        <v>59</v>
      </c>
    </row>
    <row r="47" spans="1:18" ht="20" customHeight="1">
      <c r="A47" s="9" t="s">
        <v>154</v>
      </c>
      <c r="B47" s="10" t="s">
        <v>20</v>
      </c>
      <c r="C47" s="11" t="s">
        <v>21</v>
      </c>
      <c r="D47" s="11" t="s">
        <v>122</v>
      </c>
      <c r="E47" s="11" t="s">
        <v>70</v>
      </c>
      <c r="F47" s="11" t="s">
        <v>36</v>
      </c>
      <c r="G47" s="11" t="s">
        <v>37</v>
      </c>
      <c r="H47" s="11" t="s">
        <v>38</v>
      </c>
      <c r="I47" s="11" t="s">
        <v>25</v>
      </c>
      <c r="J47" s="11" t="s">
        <v>49</v>
      </c>
      <c r="K47" s="11" t="s">
        <v>62</v>
      </c>
      <c r="L47" s="11" t="s">
        <v>73</v>
      </c>
      <c r="M47" s="11" t="s">
        <v>67</v>
      </c>
      <c r="N47" s="11" t="s">
        <v>155</v>
      </c>
      <c r="O47" s="11" t="s">
        <v>49</v>
      </c>
      <c r="P47" s="11" t="s">
        <v>43</v>
      </c>
      <c r="Q47" s="11" t="s">
        <v>33</v>
      </c>
      <c r="R47" s="11" t="s">
        <v>64</v>
      </c>
    </row>
    <row r="48" spans="1:18" ht="20" customHeight="1">
      <c r="A48" s="9" t="s">
        <v>156</v>
      </c>
      <c r="B48" s="10" t="s">
        <v>20</v>
      </c>
      <c r="C48" s="11" t="s">
        <v>21</v>
      </c>
      <c r="D48" s="11" t="s">
        <v>157</v>
      </c>
      <c r="E48" s="12">
        <v>2</v>
      </c>
      <c r="F48" s="11" t="s">
        <v>23</v>
      </c>
      <c r="G48" s="11" t="s">
        <v>61</v>
      </c>
      <c r="H48" s="13"/>
      <c r="I48" s="11" t="s">
        <v>48</v>
      </c>
      <c r="J48" s="11" t="s">
        <v>54</v>
      </c>
      <c r="K48" s="11" t="s">
        <v>55</v>
      </c>
      <c r="L48" s="11" t="s">
        <v>73</v>
      </c>
      <c r="M48" s="11" t="s">
        <v>67</v>
      </c>
      <c r="N48" s="11" t="s">
        <v>158</v>
      </c>
      <c r="O48" s="11" t="s">
        <v>26</v>
      </c>
      <c r="P48" s="11" t="s">
        <v>57</v>
      </c>
      <c r="Q48" s="11" t="s">
        <v>33</v>
      </c>
      <c r="R48" s="11" t="s">
        <v>45</v>
      </c>
    </row>
    <row r="49" spans="1:18" ht="20" customHeight="1">
      <c r="A49" s="9" t="s">
        <v>159</v>
      </c>
      <c r="B49" s="10" t="s">
        <v>20</v>
      </c>
      <c r="C49" s="11" t="s">
        <v>21</v>
      </c>
      <c r="D49" s="11" t="s">
        <v>122</v>
      </c>
      <c r="E49" s="11" t="s">
        <v>70</v>
      </c>
      <c r="F49" s="11" t="s">
        <v>85</v>
      </c>
      <c r="G49" s="11" t="s">
        <v>37</v>
      </c>
      <c r="H49" s="11" t="s">
        <v>72</v>
      </c>
      <c r="I49" s="11" t="s">
        <v>25</v>
      </c>
      <c r="J49" s="11" t="s">
        <v>49</v>
      </c>
      <c r="K49" s="11" t="s">
        <v>55</v>
      </c>
      <c r="L49" s="11" t="s">
        <v>73</v>
      </c>
      <c r="M49" s="11" t="s">
        <v>67</v>
      </c>
      <c r="N49" s="11" t="s">
        <v>93</v>
      </c>
      <c r="O49" s="11" t="s">
        <v>49</v>
      </c>
      <c r="P49" s="11" t="s">
        <v>57</v>
      </c>
      <c r="Q49" s="11" t="s">
        <v>58</v>
      </c>
      <c r="R49" s="11" t="s">
        <v>52</v>
      </c>
    </row>
    <row r="50" spans="1:18" ht="20" customHeight="1">
      <c r="A50" s="9" t="s">
        <v>160</v>
      </c>
      <c r="B50" s="10" t="s">
        <v>20</v>
      </c>
      <c r="C50" s="11" t="s">
        <v>21</v>
      </c>
      <c r="D50" s="11" t="s">
        <v>161</v>
      </c>
      <c r="E50" s="12">
        <v>3</v>
      </c>
      <c r="F50" s="11" t="s">
        <v>23</v>
      </c>
      <c r="G50" s="11" t="s">
        <v>61</v>
      </c>
      <c r="H50" s="13"/>
      <c r="I50" s="11" t="s">
        <v>25</v>
      </c>
      <c r="J50" s="11" t="s">
        <v>54</v>
      </c>
      <c r="K50" s="11" t="s">
        <v>62</v>
      </c>
      <c r="L50" s="11" t="s">
        <v>73</v>
      </c>
      <c r="M50" s="11" t="s">
        <v>21</v>
      </c>
      <c r="N50" s="11" t="s">
        <v>63</v>
      </c>
      <c r="O50" s="11" t="s">
        <v>54</v>
      </c>
      <c r="P50" s="11" t="s">
        <v>57</v>
      </c>
      <c r="Q50" s="11" t="s">
        <v>51</v>
      </c>
      <c r="R50" s="11" t="s">
        <v>45</v>
      </c>
    </row>
    <row r="51" spans="1:18" ht="20" customHeight="1">
      <c r="A51" s="9" t="s">
        <v>162</v>
      </c>
      <c r="B51" s="10" t="s">
        <v>20</v>
      </c>
      <c r="C51" s="11" t="s">
        <v>21</v>
      </c>
      <c r="D51" s="11" t="s">
        <v>122</v>
      </c>
      <c r="E51" s="12">
        <v>2</v>
      </c>
      <c r="F51" s="11" t="s">
        <v>85</v>
      </c>
      <c r="G51" s="11" t="s">
        <v>37</v>
      </c>
      <c r="H51" s="11" t="s">
        <v>72</v>
      </c>
      <c r="I51" s="11" t="s">
        <v>48</v>
      </c>
      <c r="J51" s="11" t="s">
        <v>54</v>
      </c>
      <c r="K51" s="11" t="s">
        <v>27</v>
      </c>
      <c r="L51" s="11" t="s">
        <v>73</v>
      </c>
      <c r="M51" s="11" t="s">
        <v>67</v>
      </c>
      <c r="N51" s="11" t="s">
        <v>163</v>
      </c>
      <c r="O51" s="11" t="s">
        <v>49</v>
      </c>
      <c r="P51" s="11" t="s">
        <v>57</v>
      </c>
      <c r="Q51" s="11" t="s">
        <v>33</v>
      </c>
      <c r="R51" s="11" t="s">
        <v>52</v>
      </c>
    </row>
    <row r="52" spans="1:18" ht="20" customHeight="1">
      <c r="A52" s="9" t="s">
        <v>164</v>
      </c>
      <c r="B52" s="10" t="s">
        <v>20</v>
      </c>
      <c r="C52" s="11" t="s">
        <v>21</v>
      </c>
      <c r="D52" s="11" t="s">
        <v>122</v>
      </c>
      <c r="E52" s="12">
        <v>3</v>
      </c>
      <c r="F52" s="11" t="s">
        <v>23</v>
      </c>
      <c r="G52" s="11" t="s">
        <v>97</v>
      </c>
      <c r="H52" s="13"/>
      <c r="I52" s="11" t="s">
        <v>141</v>
      </c>
      <c r="J52" s="11" t="s">
        <v>26</v>
      </c>
      <c r="K52" s="11" t="s">
        <v>27</v>
      </c>
      <c r="L52" s="11" t="s">
        <v>66</v>
      </c>
      <c r="M52" s="11" t="s">
        <v>67</v>
      </c>
      <c r="N52" s="11" t="s">
        <v>165</v>
      </c>
      <c r="O52" s="11" t="s">
        <v>26</v>
      </c>
      <c r="P52" s="11" t="s">
        <v>57</v>
      </c>
      <c r="Q52" s="11" t="s">
        <v>58</v>
      </c>
      <c r="R52" s="11" t="s">
        <v>34</v>
      </c>
    </row>
    <row r="53" spans="1:18" ht="20" customHeight="1">
      <c r="A53" s="9" t="s">
        <v>166</v>
      </c>
      <c r="B53" s="10" t="s">
        <v>20</v>
      </c>
      <c r="C53" s="11" t="s">
        <v>21</v>
      </c>
      <c r="D53" s="11" t="s">
        <v>122</v>
      </c>
      <c r="E53" s="12">
        <v>2</v>
      </c>
      <c r="F53" s="11" t="s">
        <v>36</v>
      </c>
      <c r="G53" s="11" t="s">
        <v>37</v>
      </c>
      <c r="H53" s="11" t="s">
        <v>167</v>
      </c>
      <c r="I53" s="11" t="s">
        <v>48</v>
      </c>
      <c r="J53" s="11" t="s">
        <v>54</v>
      </c>
      <c r="K53" s="11" t="s">
        <v>40</v>
      </c>
      <c r="L53" s="11" t="s">
        <v>66</v>
      </c>
      <c r="M53" s="11" t="s">
        <v>21</v>
      </c>
      <c r="N53" s="11" t="s">
        <v>63</v>
      </c>
      <c r="O53" s="11" t="s">
        <v>49</v>
      </c>
      <c r="P53" s="11" t="s">
        <v>98</v>
      </c>
      <c r="Q53" s="11" t="s">
        <v>51</v>
      </c>
      <c r="R53" s="11" t="s">
        <v>52</v>
      </c>
    </row>
    <row r="54" spans="1:18" ht="20" customHeight="1">
      <c r="A54" s="9" t="s">
        <v>168</v>
      </c>
      <c r="B54" s="10" t="s">
        <v>20</v>
      </c>
      <c r="C54" s="11" t="s">
        <v>21</v>
      </c>
      <c r="D54" s="11" t="s">
        <v>169</v>
      </c>
      <c r="E54" s="12">
        <v>2</v>
      </c>
      <c r="F54" s="11" t="s">
        <v>23</v>
      </c>
      <c r="G54" s="11" t="s">
        <v>61</v>
      </c>
      <c r="H54" s="11" t="s">
        <v>38</v>
      </c>
      <c r="I54" s="11" t="s">
        <v>39</v>
      </c>
      <c r="J54" s="11" t="s">
        <v>54</v>
      </c>
      <c r="K54" s="11" t="s">
        <v>55</v>
      </c>
      <c r="L54" s="11" t="s">
        <v>73</v>
      </c>
      <c r="M54" s="11" t="s">
        <v>67</v>
      </c>
      <c r="N54" s="11" t="s">
        <v>155</v>
      </c>
      <c r="O54" s="11" t="s">
        <v>54</v>
      </c>
      <c r="P54" s="11" t="s">
        <v>57</v>
      </c>
      <c r="Q54" s="11" t="s">
        <v>127</v>
      </c>
      <c r="R54" s="11" t="s">
        <v>34</v>
      </c>
    </row>
    <row r="55" spans="1:18" ht="20" customHeight="1">
      <c r="A55" s="9" t="s">
        <v>170</v>
      </c>
      <c r="B55" s="10" t="s">
        <v>20</v>
      </c>
      <c r="C55" s="11" t="s">
        <v>21</v>
      </c>
      <c r="D55" s="11" t="s">
        <v>122</v>
      </c>
      <c r="E55" s="12">
        <v>3</v>
      </c>
      <c r="F55" s="11" t="s">
        <v>23</v>
      </c>
      <c r="G55" s="11" t="s">
        <v>61</v>
      </c>
      <c r="H55" s="13"/>
      <c r="I55" s="11" t="s">
        <v>25</v>
      </c>
      <c r="J55" s="11" t="s">
        <v>49</v>
      </c>
      <c r="K55" s="11" t="s">
        <v>40</v>
      </c>
      <c r="L55" s="11" t="s">
        <v>73</v>
      </c>
      <c r="M55" s="11" t="s">
        <v>67</v>
      </c>
      <c r="N55" s="11" t="s">
        <v>158</v>
      </c>
      <c r="O55" s="11" t="s">
        <v>49</v>
      </c>
      <c r="P55" s="11" t="s">
        <v>57</v>
      </c>
      <c r="Q55" s="11" t="s">
        <v>127</v>
      </c>
      <c r="R55" s="11" t="s">
        <v>45</v>
      </c>
    </row>
    <row r="56" spans="1:18" ht="20" customHeight="1">
      <c r="A56" s="9" t="s">
        <v>171</v>
      </c>
      <c r="B56" s="10" t="s">
        <v>172</v>
      </c>
      <c r="C56" s="11" t="s">
        <v>21</v>
      </c>
      <c r="D56" s="11" t="s">
        <v>169</v>
      </c>
      <c r="E56" s="12">
        <v>3</v>
      </c>
      <c r="F56" s="11" t="s">
        <v>23</v>
      </c>
      <c r="G56" s="11" t="s">
        <v>24</v>
      </c>
      <c r="H56" s="11" t="s">
        <v>38</v>
      </c>
      <c r="I56" s="11" t="s">
        <v>25</v>
      </c>
      <c r="J56" s="11" t="s">
        <v>31</v>
      </c>
      <c r="K56" s="11" t="s">
        <v>55</v>
      </c>
      <c r="L56" s="11" t="s">
        <v>66</v>
      </c>
      <c r="M56" s="11" t="s">
        <v>29</v>
      </c>
      <c r="N56" s="11" t="s">
        <v>111</v>
      </c>
      <c r="O56" s="11" t="s">
        <v>31</v>
      </c>
      <c r="P56" s="11" t="s">
        <v>57</v>
      </c>
      <c r="Q56" s="11" t="s">
        <v>44</v>
      </c>
      <c r="R56" s="11" t="s">
        <v>64</v>
      </c>
    </row>
    <row r="57" spans="1:18" ht="20" customHeight="1">
      <c r="A57" s="9" t="s">
        <v>173</v>
      </c>
      <c r="B57" s="10" t="s">
        <v>20</v>
      </c>
      <c r="C57" s="11" t="s">
        <v>21</v>
      </c>
      <c r="D57" s="11" t="s">
        <v>122</v>
      </c>
      <c r="E57" s="12">
        <v>2</v>
      </c>
      <c r="F57" s="11" t="s">
        <v>36</v>
      </c>
      <c r="G57" s="11" t="s">
        <v>37</v>
      </c>
      <c r="H57" s="11" t="s">
        <v>72</v>
      </c>
      <c r="I57" s="11" t="s">
        <v>25</v>
      </c>
      <c r="J57" s="11" t="s">
        <v>54</v>
      </c>
      <c r="K57" s="11" t="s">
        <v>55</v>
      </c>
      <c r="L57" s="11" t="s">
        <v>73</v>
      </c>
      <c r="M57" s="11" t="s">
        <v>67</v>
      </c>
      <c r="N57" s="11" t="s">
        <v>111</v>
      </c>
      <c r="O57" s="11" t="s">
        <v>49</v>
      </c>
      <c r="P57" s="11" t="s">
        <v>57</v>
      </c>
      <c r="Q57" s="11" t="s">
        <v>58</v>
      </c>
      <c r="R57" s="11" t="s">
        <v>59</v>
      </c>
    </row>
    <row r="58" spans="1:18" ht="20" customHeight="1">
      <c r="A58" s="9" t="s">
        <v>174</v>
      </c>
      <c r="B58" s="10" t="s">
        <v>47</v>
      </c>
      <c r="C58" s="11" t="s">
        <v>21</v>
      </c>
      <c r="D58" s="11" t="s">
        <v>169</v>
      </c>
      <c r="E58" s="12">
        <v>3</v>
      </c>
      <c r="F58" s="11" t="s">
        <v>23</v>
      </c>
      <c r="G58" s="11" t="s">
        <v>175</v>
      </c>
      <c r="H58" s="11" t="s">
        <v>78</v>
      </c>
      <c r="I58" s="11" t="s">
        <v>25</v>
      </c>
      <c r="J58" s="11" t="s">
        <v>54</v>
      </c>
      <c r="K58" s="11" t="s">
        <v>27</v>
      </c>
      <c r="L58" s="11" t="s">
        <v>66</v>
      </c>
      <c r="M58" s="11" t="s">
        <v>29</v>
      </c>
      <c r="N58" s="11" t="s">
        <v>111</v>
      </c>
      <c r="O58" s="11" t="s">
        <v>54</v>
      </c>
      <c r="P58" s="11" t="s">
        <v>57</v>
      </c>
      <c r="Q58" s="11" t="s">
        <v>44</v>
      </c>
      <c r="R58" s="11" t="s">
        <v>45</v>
      </c>
    </row>
    <row r="59" spans="1:18" ht="20" customHeight="1">
      <c r="A59" s="9" t="s">
        <v>176</v>
      </c>
      <c r="B59" s="10" t="s">
        <v>20</v>
      </c>
      <c r="C59" s="11" t="s">
        <v>21</v>
      </c>
      <c r="D59" s="11" t="s">
        <v>122</v>
      </c>
      <c r="E59" s="12">
        <v>3</v>
      </c>
      <c r="F59" s="11" t="s">
        <v>85</v>
      </c>
      <c r="G59" s="11" t="s">
        <v>37</v>
      </c>
      <c r="H59" s="11" t="s">
        <v>38</v>
      </c>
      <c r="I59" s="11" t="s">
        <v>48</v>
      </c>
      <c r="J59" s="11" t="s">
        <v>26</v>
      </c>
      <c r="K59" s="11" t="s">
        <v>55</v>
      </c>
      <c r="L59" s="11" t="s">
        <v>73</v>
      </c>
      <c r="M59" s="11" t="s">
        <v>67</v>
      </c>
      <c r="N59" s="11" t="s">
        <v>111</v>
      </c>
      <c r="O59" s="11" t="s">
        <v>49</v>
      </c>
      <c r="P59" s="11" t="s">
        <v>57</v>
      </c>
      <c r="Q59" s="11" t="s">
        <v>58</v>
      </c>
      <c r="R59" s="11" t="s">
        <v>45</v>
      </c>
    </row>
    <row r="60" spans="1:18" ht="20" customHeight="1">
      <c r="A60" s="9" t="s">
        <v>177</v>
      </c>
      <c r="B60" s="10" t="s">
        <v>20</v>
      </c>
      <c r="C60" s="11" t="s">
        <v>21</v>
      </c>
      <c r="D60" s="11" t="s">
        <v>122</v>
      </c>
      <c r="E60" s="12">
        <v>3</v>
      </c>
      <c r="F60" s="11" t="s">
        <v>85</v>
      </c>
      <c r="G60" s="11" t="s">
        <v>37</v>
      </c>
      <c r="H60" s="11" t="s">
        <v>38</v>
      </c>
      <c r="I60" s="11" t="s">
        <v>48</v>
      </c>
      <c r="J60" s="11" t="s">
        <v>26</v>
      </c>
      <c r="K60" s="11" t="s">
        <v>55</v>
      </c>
      <c r="L60" s="11" t="s">
        <v>73</v>
      </c>
      <c r="M60" s="11" t="s">
        <v>67</v>
      </c>
      <c r="N60" s="11" t="s">
        <v>111</v>
      </c>
      <c r="O60" s="11" t="s">
        <v>49</v>
      </c>
      <c r="P60" s="11" t="s">
        <v>57</v>
      </c>
      <c r="Q60" s="11" t="s">
        <v>58</v>
      </c>
      <c r="R60" s="11" t="s">
        <v>45</v>
      </c>
    </row>
    <row r="61" spans="1:18" ht="20" customHeight="1">
      <c r="A61" s="9" t="s">
        <v>178</v>
      </c>
      <c r="B61" s="10" t="s">
        <v>179</v>
      </c>
      <c r="C61" s="11" t="s">
        <v>21</v>
      </c>
      <c r="D61" s="11" t="s">
        <v>169</v>
      </c>
      <c r="E61" s="11" t="s">
        <v>70</v>
      </c>
      <c r="F61" s="11" t="s">
        <v>23</v>
      </c>
      <c r="G61" s="11" t="s">
        <v>61</v>
      </c>
      <c r="H61" s="13"/>
      <c r="I61" s="11" t="s">
        <v>25</v>
      </c>
      <c r="J61" s="11" t="s">
        <v>49</v>
      </c>
      <c r="K61" s="11" t="s">
        <v>80</v>
      </c>
      <c r="L61" s="11" t="s">
        <v>92</v>
      </c>
      <c r="M61" s="11" t="s">
        <v>67</v>
      </c>
      <c r="N61" s="11" t="s">
        <v>116</v>
      </c>
      <c r="O61" s="11" t="s">
        <v>49</v>
      </c>
      <c r="P61" s="11" t="s">
        <v>107</v>
      </c>
      <c r="Q61" s="11" t="s">
        <v>127</v>
      </c>
      <c r="R61" s="11" t="s">
        <v>52</v>
      </c>
    </row>
    <row r="62" spans="1:18" ht="20" customHeight="1">
      <c r="A62" s="9" t="s">
        <v>180</v>
      </c>
      <c r="B62" s="10" t="s">
        <v>20</v>
      </c>
      <c r="C62" s="11" t="s">
        <v>21</v>
      </c>
      <c r="D62" s="11" t="s">
        <v>122</v>
      </c>
      <c r="E62" s="12">
        <v>2</v>
      </c>
      <c r="F62" s="11" t="s">
        <v>23</v>
      </c>
      <c r="G62" s="11" t="s">
        <v>61</v>
      </c>
      <c r="H62" s="13"/>
      <c r="I62" s="11" t="s">
        <v>39</v>
      </c>
      <c r="J62" s="11" t="s">
        <v>49</v>
      </c>
      <c r="K62" s="11" t="s">
        <v>62</v>
      </c>
      <c r="L62" s="11" t="s">
        <v>73</v>
      </c>
      <c r="M62" s="11" t="s">
        <v>21</v>
      </c>
      <c r="N62" s="11" t="s">
        <v>132</v>
      </c>
      <c r="O62" s="11" t="s">
        <v>49</v>
      </c>
      <c r="P62" s="11" t="s">
        <v>57</v>
      </c>
      <c r="Q62" s="11" t="s">
        <v>44</v>
      </c>
      <c r="R62" s="11" t="s">
        <v>45</v>
      </c>
    </row>
    <row r="63" spans="1:18" ht="20" customHeight="1">
      <c r="A63" s="9" t="s">
        <v>181</v>
      </c>
      <c r="B63" s="10" t="s">
        <v>47</v>
      </c>
      <c r="C63" s="11" t="s">
        <v>21</v>
      </c>
      <c r="D63" s="11" t="s">
        <v>169</v>
      </c>
      <c r="E63" s="12">
        <v>3</v>
      </c>
      <c r="F63" s="11" t="s">
        <v>36</v>
      </c>
      <c r="G63" s="11" t="s">
        <v>37</v>
      </c>
      <c r="H63" s="11" t="s">
        <v>182</v>
      </c>
      <c r="I63" s="11" t="s">
        <v>48</v>
      </c>
      <c r="J63" s="11" t="s">
        <v>54</v>
      </c>
      <c r="K63" s="11" t="s">
        <v>62</v>
      </c>
      <c r="L63" s="11" t="s">
        <v>73</v>
      </c>
      <c r="M63" s="11" t="s">
        <v>67</v>
      </c>
      <c r="N63" s="11" t="s">
        <v>129</v>
      </c>
      <c r="O63" s="11" t="s">
        <v>31</v>
      </c>
      <c r="P63" s="11" t="s">
        <v>57</v>
      </c>
      <c r="Q63" s="11" t="s">
        <v>51</v>
      </c>
      <c r="R63" s="11" t="s">
        <v>45</v>
      </c>
    </row>
    <row r="64" spans="1:18" ht="20" customHeight="1">
      <c r="A64" s="9" t="s">
        <v>183</v>
      </c>
      <c r="B64" s="10" t="s">
        <v>20</v>
      </c>
      <c r="C64" s="11" t="s">
        <v>21</v>
      </c>
      <c r="D64" s="11" t="s">
        <v>169</v>
      </c>
      <c r="E64" s="11" t="s">
        <v>70</v>
      </c>
      <c r="F64" s="11" t="s">
        <v>23</v>
      </c>
      <c r="G64" s="11" t="s">
        <v>61</v>
      </c>
      <c r="H64" s="13"/>
      <c r="I64" s="11" t="s">
        <v>48</v>
      </c>
      <c r="J64" s="11" t="s">
        <v>49</v>
      </c>
      <c r="K64" s="11" t="s">
        <v>62</v>
      </c>
      <c r="L64" s="11" t="s">
        <v>73</v>
      </c>
      <c r="M64" s="11" t="s">
        <v>29</v>
      </c>
      <c r="N64" s="11" t="s">
        <v>111</v>
      </c>
      <c r="O64" s="11" t="s">
        <v>49</v>
      </c>
      <c r="P64" s="11" t="s">
        <v>57</v>
      </c>
      <c r="Q64" s="11" t="s">
        <v>127</v>
      </c>
      <c r="R64" s="11" t="s">
        <v>34</v>
      </c>
    </row>
    <row r="65" spans="1:18" ht="20" customHeight="1">
      <c r="A65" s="9" t="s">
        <v>184</v>
      </c>
      <c r="B65" s="10" t="s">
        <v>172</v>
      </c>
      <c r="C65" s="11" t="s">
        <v>21</v>
      </c>
      <c r="D65" s="11" t="s">
        <v>169</v>
      </c>
      <c r="E65" s="12">
        <v>4</v>
      </c>
      <c r="F65" s="11" t="s">
        <v>23</v>
      </c>
      <c r="G65" s="11" t="s">
        <v>175</v>
      </c>
      <c r="H65" s="13"/>
      <c r="I65" s="11" t="s">
        <v>25</v>
      </c>
      <c r="J65" s="11" t="s">
        <v>49</v>
      </c>
      <c r="K65" s="11" t="s">
        <v>62</v>
      </c>
      <c r="L65" s="11" t="s">
        <v>66</v>
      </c>
      <c r="M65" s="11" t="s">
        <v>29</v>
      </c>
      <c r="N65" s="11" t="s">
        <v>111</v>
      </c>
      <c r="O65" s="11" t="s">
        <v>26</v>
      </c>
      <c r="P65" s="11" t="s">
        <v>57</v>
      </c>
      <c r="Q65" s="11" t="s">
        <v>44</v>
      </c>
      <c r="R65" s="11" t="s">
        <v>45</v>
      </c>
    </row>
    <row r="66" spans="1:18" ht="20" customHeight="1">
      <c r="A66" s="9" t="s">
        <v>185</v>
      </c>
      <c r="B66" s="10" t="s">
        <v>172</v>
      </c>
      <c r="C66" s="11" t="s">
        <v>21</v>
      </c>
      <c r="D66" s="11" t="s">
        <v>169</v>
      </c>
      <c r="E66" s="12">
        <v>3</v>
      </c>
      <c r="F66" s="11" t="s">
        <v>36</v>
      </c>
      <c r="G66" s="11" t="s">
        <v>37</v>
      </c>
      <c r="H66" s="11" t="s">
        <v>38</v>
      </c>
      <c r="I66" s="11" t="s">
        <v>48</v>
      </c>
      <c r="J66" s="11" t="s">
        <v>49</v>
      </c>
      <c r="K66" s="11" t="s">
        <v>80</v>
      </c>
      <c r="L66" s="11" t="s">
        <v>41</v>
      </c>
      <c r="M66" s="11" t="s">
        <v>67</v>
      </c>
      <c r="N66" s="11" t="s">
        <v>50</v>
      </c>
      <c r="O66" s="11" t="s">
        <v>49</v>
      </c>
      <c r="P66" s="11" t="s">
        <v>107</v>
      </c>
      <c r="Q66" s="11" t="s">
        <v>44</v>
      </c>
      <c r="R66" s="11" t="s">
        <v>45</v>
      </c>
    </row>
    <row r="67" spans="1:18" ht="20" customHeight="1">
      <c r="A67" s="9" t="s">
        <v>186</v>
      </c>
      <c r="B67" s="10" t="s">
        <v>20</v>
      </c>
      <c r="C67" s="11" t="s">
        <v>21</v>
      </c>
      <c r="D67" s="11" t="s">
        <v>122</v>
      </c>
      <c r="E67" s="12">
        <v>2</v>
      </c>
      <c r="F67" s="11" t="s">
        <v>85</v>
      </c>
      <c r="G67" s="11" t="s">
        <v>37</v>
      </c>
      <c r="H67" s="11" t="s">
        <v>38</v>
      </c>
      <c r="I67" s="11" t="s">
        <v>25</v>
      </c>
      <c r="J67" s="11" t="s">
        <v>49</v>
      </c>
      <c r="K67" s="11" t="s">
        <v>62</v>
      </c>
      <c r="L67" s="11" t="s">
        <v>56</v>
      </c>
      <c r="M67" s="11" t="s">
        <v>67</v>
      </c>
      <c r="N67" s="11" t="s">
        <v>63</v>
      </c>
      <c r="O67" s="11" t="s">
        <v>54</v>
      </c>
      <c r="P67" s="11" t="s">
        <v>57</v>
      </c>
      <c r="Q67" s="11" t="s">
        <v>44</v>
      </c>
      <c r="R67" s="11" t="s">
        <v>45</v>
      </c>
    </row>
    <row r="68" spans="1:18" ht="20" customHeight="1">
      <c r="A68" s="9" t="s">
        <v>187</v>
      </c>
      <c r="B68" s="10" t="s">
        <v>172</v>
      </c>
      <c r="C68" s="11" t="s">
        <v>21</v>
      </c>
      <c r="D68" s="11" t="s">
        <v>169</v>
      </c>
      <c r="E68" s="12">
        <v>2</v>
      </c>
      <c r="F68" s="11" t="s">
        <v>23</v>
      </c>
      <c r="G68" s="11" t="s">
        <v>97</v>
      </c>
      <c r="H68" s="11" t="s">
        <v>126</v>
      </c>
      <c r="I68" s="11" t="s">
        <v>48</v>
      </c>
      <c r="J68" s="11" t="s">
        <v>49</v>
      </c>
      <c r="K68" s="11" t="s">
        <v>40</v>
      </c>
      <c r="L68" s="11" t="s">
        <v>56</v>
      </c>
      <c r="M68" s="11" t="s">
        <v>67</v>
      </c>
      <c r="N68" s="11" t="s">
        <v>132</v>
      </c>
      <c r="O68" s="11" t="s">
        <v>49</v>
      </c>
      <c r="P68" s="11" t="s">
        <v>43</v>
      </c>
      <c r="Q68" s="11" t="s">
        <v>58</v>
      </c>
      <c r="R68" s="11" t="s">
        <v>52</v>
      </c>
    </row>
    <row r="69" spans="1:18" ht="20" customHeight="1">
      <c r="A69" s="9" t="s">
        <v>188</v>
      </c>
      <c r="B69" s="10" t="s">
        <v>20</v>
      </c>
      <c r="C69" s="11" t="s">
        <v>21</v>
      </c>
      <c r="D69" s="11" t="s">
        <v>122</v>
      </c>
      <c r="E69" s="11" t="s">
        <v>70</v>
      </c>
      <c r="F69" s="11" t="s">
        <v>36</v>
      </c>
      <c r="G69" s="11" t="s">
        <v>37</v>
      </c>
      <c r="H69" s="11" t="s">
        <v>72</v>
      </c>
      <c r="I69" s="11" t="s">
        <v>39</v>
      </c>
      <c r="J69" s="11" t="s">
        <v>49</v>
      </c>
      <c r="K69" s="11" t="s">
        <v>55</v>
      </c>
      <c r="L69" s="11" t="s">
        <v>73</v>
      </c>
      <c r="M69" s="11" t="s">
        <v>67</v>
      </c>
      <c r="N69" s="11" t="s">
        <v>123</v>
      </c>
      <c r="O69" s="11" t="s">
        <v>49</v>
      </c>
      <c r="P69" s="11" t="s">
        <v>57</v>
      </c>
      <c r="Q69" s="11" t="s">
        <v>44</v>
      </c>
      <c r="R69" s="11" t="s">
        <v>52</v>
      </c>
    </row>
    <row r="70" spans="1:18" ht="20" customHeight="1">
      <c r="A70" s="9" t="s">
        <v>189</v>
      </c>
      <c r="B70" s="10" t="s">
        <v>20</v>
      </c>
      <c r="C70" s="11" t="s">
        <v>21</v>
      </c>
      <c r="D70" s="11" t="s">
        <v>122</v>
      </c>
      <c r="E70" s="12">
        <v>2</v>
      </c>
      <c r="F70" s="11" t="s">
        <v>23</v>
      </c>
      <c r="G70" s="11" t="s">
        <v>61</v>
      </c>
      <c r="H70" s="11" t="s">
        <v>115</v>
      </c>
      <c r="I70" s="11" t="s">
        <v>25</v>
      </c>
      <c r="J70" s="11" t="s">
        <v>54</v>
      </c>
      <c r="K70" s="11" t="s">
        <v>62</v>
      </c>
      <c r="L70" s="11" t="s">
        <v>73</v>
      </c>
      <c r="M70" s="11" t="s">
        <v>67</v>
      </c>
      <c r="N70" s="11" t="s">
        <v>134</v>
      </c>
      <c r="O70" s="11" t="s">
        <v>54</v>
      </c>
      <c r="P70" s="11" t="s">
        <v>57</v>
      </c>
      <c r="Q70" s="11" t="s">
        <v>44</v>
      </c>
      <c r="R70" s="11" t="s">
        <v>34</v>
      </c>
    </row>
    <row r="71" spans="1:18" ht="20" customHeight="1">
      <c r="A71" s="9" t="s">
        <v>190</v>
      </c>
      <c r="B71" s="10" t="s">
        <v>20</v>
      </c>
      <c r="C71" s="11" t="s">
        <v>21</v>
      </c>
      <c r="D71" s="11" t="s">
        <v>191</v>
      </c>
      <c r="E71" s="12">
        <v>3</v>
      </c>
      <c r="F71" s="11" t="s">
        <v>23</v>
      </c>
      <c r="G71" s="11" t="s">
        <v>61</v>
      </c>
      <c r="H71" s="11" t="s">
        <v>72</v>
      </c>
      <c r="I71" s="11" t="s">
        <v>39</v>
      </c>
      <c r="J71" s="11" t="s">
        <v>54</v>
      </c>
      <c r="K71" s="11" t="s">
        <v>55</v>
      </c>
      <c r="L71" s="11" t="s">
        <v>73</v>
      </c>
      <c r="M71" s="11" t="s">
        <v>67</v>
      </c>
      <c r="N71" s="11" t="s">
        <v>192</v>
      </c>
      <c r="O71" s="11" t="s">
        <v>49</v>
      </c>
      <c r="P71" s="11" t="s">
        <v>57</v>
      </c>
      <c r="Q71" s="11" t="s">
        <v>44</v>
      </c>
      <c r="R71" s="11" t="s">
        <v>34</v>
      </c>
    </row>
    <row r="72" spans="1:18" ht="20" customHeight="1">
      <c r="A72" s="9" t="s">
        <v>193</v>
      </c>
      <c r="B72" s="10" t="s">
        <v>20</v>
      </c>
      <c r="C72" s="11" t="s">
        <v>21</v>
      </c>
      <c r="D72" s="11" t="s">
        <v>122</v>
      </c>
      <c r="E72" s="11" t="s">
        <v>70</v>
      </c>
      <c r="F72" s="11" t="s">
        <v>23</v>
      </c>
      <c r="G72" s="11" t="s">
        <v>97</v>
      </c>
      <c r="H72" s="13"/>
      <c r="I72" s="11" t="s">
        <v>48</v>
      </c>
      <c r="J72" s="11" t="s">
        <v>49</v>
      </c>
      <c r="K72" s="11" t="s">
        <v>40</v>
      </c>
      <c r="L72" s="11" t="s">
        <v>73</v>
      </c>
      <c r="M72" s="11" t="s">
        <v>67</v>
      </c>
      <c r="N72" s="11" t="s">
        <v>63</v>
      </c>
      <c r="O72" s="11" t="s">
        <v>49</v>
      </c>
      <c r="P72" s="11" t="s">
        <v>57</v>
      </c>
      <c r="Q72" s="11" t="s">
        <v>58</v>
      </c>
      <c r="R72" s="11" t="s">
        <v>45</v>
      </c>
    </row>
    <row r="73" spans="1:18" ht="20" customHeight="1">
      <c r="A73" s="9" t="s">
        <v>194</v>
      </c>
      <c r="B73" s="10" t="s">
        <v>20</v>
      </c>
      <c r="C73" s="11" t="s">
        <v>21</v>
      </c>
      <c r="D73" s="11" t="s">
        <v>122</v>
      </c>
      <c r="E73" s="11" t="s">
        <v>70</v>
      </c>
      <c r="F73" s="11" t="s">
        <v>23</v>
      </c>
      <c r="G73" s="11" t="s">
        <v>37</v>
      </c>
      <c r="H73" s="13"/>
      <c r="I73" s="11" t="s">
        <v>39</v>
      </c>
      <c r="J73" s="11" t="s">
        <v>54</v>
      </c>
      <c r="K73" s="11" t="s">
        <v>27</v>
      </c>
      <c r="L73" s="11" t="s">
        <v>66</v>
      </c>
      <c r="M73" s="11" t="s">
        <v>29</v>
      </c>
      <c r="N73" s="11" t="s">
        <v>111</v>
      </c>
      <c r="O73" s="11" t="s">
        <v>54</v>
      </c>
      <c r="P73" s="11" t="s">
        <v>57</v>
      </c>
      <c r="Q73" s="11" t="s">
        <v>51</v>
      </c>
      <c r="R73" s="11" t="s">
        <v>45</v>
      </c>
    </row>
    <row r="74" spans="1:18" ht="20" customHeight="1">
      <c r="A74" s="9" t="s">
        <v>195</v>
      </c>
      <c r="B74" s="10" t="s">
        <v>172</v>
      </c>
      <c r="C74" s="11" t="s">
        <v>196</v>
      </c>
      <c r="D74" s="11" t="s">
        <v>169</v>
      </c>
      <c r="E74" s="11" t="s">
        <v>70</v>
      </c>
      <c r="F74" s="11" t="s">
        <v>23</v>
      </c>
      <c r="G74" s="11" t="s">
        <v>37</v>
      </c>
      <c r="H74" s="11" t="s">
        <v>197</v>
      </c>
      <c r="I74" s="11" t="s">
        <v>48</v>
      </c>
      <c r="J74" s="11" t="s">
        <v>49</v>
      </c>
      <c r="K74" s="11" t="s">
        <v>80</v>
      </c>
      <c r="L74" s="11" t="s">
        <v>41</v>
      </c>
      <c r="M74" s="11" t="s">
        <v>67</v>
      </c>
      <c r="N74" s="11" t="s">
        <v>78</v>
      </c>
      <c r="O74" s="11" t="s">
        <v>49</v>
      </c>
      <c r="P74" s="11" t="s">
        <v>57</v>
      </c>
      <c r="Q74" s="11" t="s">
        <v>78</v>
      </c>
      <c r="R74" s="11" t="s">
        <v>64</v>
      </c>
    </row>
    <row r="75" spans="1:18" ht="20" customHeight="1">
      <c r="A75" s="9" t="s">
        <v>198</v>
      </c>
      <c r="B75" s="10" t="s">
        <v>179</v>
      </c>
      <c r="C75" s="11" t="s">
        <v>21</v>
      </c>
      <c r="D75" s="11" t="s">
        <v>169</v>
      </c>
      <c r="E75" s="11" t="s">
        <v>70</v>
      </c>
      <c r="F75" s="11" t="s">
        <v>23</v>
      </c>
      <c r="G75" s="11" t="s">
        <v>37</v>
      </c>
      <c r="H75" s="13"/>
      <c r="I75" s="11" t="s">
        <v>25</v>
      </c>
      <c r="J75" s="11" t="s">
        <v>49</v>
      </c>
      <c r="K75" s="11" t="s">
        <v>80</v>
      </c>
      <c r="L75" s="11" t="s">
        <v>92</v>
      </c>
      <c r="M75" s="11" t="s">
        <v>29</v>
      </c>
      <c r="N75" s="11" t="s">
        <v>116</v>
      </c>
      <c r="O75" s="11" t="s">
        <v>49</v>
      </c>
      <c r="P75" s="11" t="s">
        <v>43</v>
      </c>
      <c r="Q75" s="11" t="s">
        <v>127</v>
      </c>
      <c r="R75" s="11" t="s">
        <v>34</v>
      </c>
    </row>
  </sheetData>
  <mergeCells count="1">
    <mergeCell ref="A1:R1"/>
  </mergeCells>
  <pageMargins left="1" right="1" top="1" bottom="1" header="0.25" footer="0.25"/>
  <pageSetup orientation="portrait"/>
  <headerFooter>
    <oddFooter>&amp;C&amp;"Helvetica Neue,Regular"&amp;12&amp;K000000&amp;P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EB334-41D7-7B44-98F2-73F012D7735A}">
  <sheetPr>
    <pageSetUpPr fitToPage="1"/>
  </sheetPr>
  <dimension ref="A1:AG74"/>
  <sheetViews>
    <sheetView showGridLines="0" tabSelected="1" topLeftCell="E49" workbookViewId="0">
      <selection activeCell="J75" sqref="J75"/>
    </sheetView>
  </sheetViews>
  <sheetFormatPr baseColWidth="10" defaultColWidth="8.33203125" defaultRowHeight="20" customHeight="1"/>
  <cols>
    <col min="1" max="1" width="26.33203125" style="1" hidden="1" customWidth="1"/>
    <col min="2" max="2" width="6.1640625" style="1" customWidth="1"/>
    <col min="3" max="3" width="10.1640625" style="1" customWidth="1"/>
    <col min="4" max="4" width="11.33203125" style="1" customWidth="1"/>
    <col min="5" max="5" width="8.1640625" style="1" customWidth="1"/>
    <col min="6" max="6" width="9.1640625" style="1" customWidth="1"/>
    <col min="7" max="7" width="7.6640625" style="1" customWidth="1"/>
    <col min="8" max="8" width="6.33203125" style="1" customWidth="1"/>
    <col min="9" max="9" width="5.5" style="1" customWidth="1"/>
    <col min="10" max="10" width="6.1640625" style="1" customWidth="1"/>
    <col min="11" max="11" width="17.33203125" style="1" customWidth="1"/>
    <col min="12" max="12" width="10.83203125" style="1" customWidth="1"/>
    <col min="13" max="13" width="12.5" style="1" customWidth="1"/>
    <col min="14" max="14" width="13.6640625" style="1" customWidth="1"/>
    <col min="15" max="15" width="9" style="1" customWidth="1"/>
    <col min="16" max="16" width="6.1640625" style="1" customWidth="1"/>
    <col min="17" max="17" width="10.6640625" style="1" customWidth="1"/>
    <col min="18" max="18" width="6.1640625" style="1" customWidth="1"/>
    <col min="19" max="19" width="8.33203125" style="1" customWidth="1"/>
    <col min="20" max="16384" width="8.33203125" style="1"/>
  </cols>
  <sheetData>
    <row r="1" spans="1:33" ht="32.25" customHeight="1">
      <c r="A1" s="2" t="s">
        <v>1</v>
      </c>
      <c r="B1" s="3" t="s">
        <v>2</v>
      </c>
      <c r="C1" s="3" t="s">
        <v>3</v>
      </c>
      <c r="D1" s="3" t="s">
        <v>4</v>
      </c>
      <c r="E1" s="3" t="s">
        <v>5</v>
      </c>
      <c r="F1" s="3" t="s">
        <v>6</v>
      </c>
      <c r="G1" s="3" t="s">
        <v>7</v>
      </c>
      <c r="H1" s="3" t="s">
        <v>8</v>
      </c>
      <c r="I1" s="3" t="s">
        <v>9</v>
      </c>
      <c r="J1" s="20" t="s">
        <v>10</v>
      </c>
      <c r="K1" s="3" t="s">
        <v>11</v>
      </c>
      <c r="L1" s="3" t="s">
        <v>12</v>
      </c>
      <c r="M1" s="3" t="s">
        <v>13</v>
      </c>
      <c r="N1" s="3" t="s">
        <v>14</v>
      </c>
      <c r="O1" s="3" t="s">
        <v>15</v>
      </c>
      <c r="P1" s="3" t="s">
        <v>16</v>
      </c>
      <c r="Q1" s="3" t="s">
        <v>17</v>
      </c>
      <c r="R1" s="3" t="s">
        <v>18</v>
      </c>
      <c r="V1" s="19" t="s">
        <v>234</v>
      </c>
      <c r="AA1" s="19" t="s">
        <v>235</v>
      </c>
      <c r="AC1" s="19" t="s">
        <v>236</v>
      </c>
    </row>
    <row r="2" spans="1:33" ht="20.25" customHeight="1">
      <c r="A2" s="4" t="s">
        <v>19</v>
      </c>
      <c r="B2" s="5" t="s">
        <v>20</v>
      </c>
      <c r="C2" s="6" t="s">
        <v>21</v>
      </c>
      <c r="D2" s="6" t="s">
        <v>22</v>
      </c>
      <c r="E2" s="7">
        <v>4</v>
      </c>
      <c r="F2" s="6" t="s">
        <v>23</v>
      </c>
      <c r="G2" s="6" t="s">
        <v>24</v>
      </c>
      <c r="H2" s="8"/>
      <c r="I2" s="6" t="s">
        <v>25</v>
      </c>
      <c r="J2" s="6" t="s">
        <v>26</v>
      </c>
      <c r="K2" s="6" t="s">
        <v>27</v>
      </c>
      <c r="L2" s="6" t="s">
        <v>28</v>
      </c>
      <c r="M2" s="6" t="s">
        <v>29</v>
      </c>
      <c r="N2" s="6" t="s">
        <v>30</v>
      </c>
      <c r="O2" s="6" t="s">
        <v>31</v>
      </c>
      <c r="P2" s="6" t="s">
        <v>32</v>
      </c>
      <c r="Q2" s="6" t="s">
        <v>33</v>
      </c>
      <c r="R2" s="6" t="s">
        <v>34</v>
      </c>
      <c r="S2" s="18">
        <f>IF(ISNUMBER(SEARCH("5", B2)), 5, IF(ISNUMBER(SEARCH("4", B2)), 4, IF(ISNUMBER(SEARCH("3", B2)), 3, IF(ISNUMBER(SEARCH("2", B2)), 2, 1))))</f>
        <v>2</v>
      </c>
      <c r="T2" s="18">
        <f>IF(ISNUMBER(SEARCH("5", C2)), 5, IF(ISNUMBER(SEARCH("4", C2)), 4, IF(ISNUMBER(SEARCH("3", C2)), 3, IF(ISNUMBER(SEARCH("2", C2)), 2, 1))))</f>
        <v>1</v>
      </c>
      <c r="U2" s="18">
        <f t="shared" ref="U2:Y2" si="0">IF(ISNUMBER(SEARCH("5", D2)), 5, IF(ISNUMBER(SEARCH("4", D2)), 4, IF(ISNUMBER(SEARCH("3", D2)), 3, IF(ISNUMBER(SEARCH("2", D2)), 2, 1))))</f>
        <v>1</v>
      </c>
      <c r="V2" s="18">
        <f>IF(ISNUMBER(SEARCH("5", E2)), 5, IF(ISNUMBER(SEARCH("4", E2)), 4, IF(ISNUMBER(SEARCH("3", E2)), 3, IF(ISNUMBER(SEARCH("2", E2)), 2, 1))))</f>
        <v>4</v>
      </c>
      <c r="W2" s="18">
        <f>IF(ISNUMBER(SEARCH("5", F2)), 5, IF(ISNUMBER(SEARCH("4", F2)), 4, IF(ISNUMBER(SEARCH("3", F2)), 3, IF(ISNUMBER(SEARCH("2", F2)), 2, 1))))</f>
        <v>1</v>
      </c>
      <c r="X2" s="18">
        <f t="shared" si="0"/>
        <v>1</v>
      </c>
      <c r="Y2" s="18">
        <f>IF(ISNUMBER(SEARCH("5", H2)), 5, IF(ISNUMBER(SEARCH("4", H2)), 4, IF(ISNUMBER(SEARCH("3", H2)), 3, IF(ISNUMBER(SEARCH("2", H2)), 2, 1))))</f>
        <v>1</v>
      </c>
      <c r="Z2" s="18">
        <f>IF(ISNUMBER(SEARCH("5", I2)), 5, IF(ISNUMBER(SEARCH("4", I2)), 4, IF(ISNUMBER(SEARCH("3", I2)), 3, IF(ISNUMBER(SEARCH("2", I2)), 2, 1))))</f>
        <v>1</v>
      </c>
      <c r="AA2" s="18">
        <f>IF(OR(J2="Very familiar", J2="Strongly agree 非常同意", J2="Very willing 非常願意"), 5,
 IF(OR(J2="Somewhat familiar", J2="Agree 同意", J2="Somewhat willing 有些願意"), 4,
  IF(OR(J2="Neutral", J2="Neither willing nor unwilling 既不願意也不排斥", B2="Neutral 中立"), 3,
   IF(OR(B2="Not very familiar", B2="Disagree 不同意", B2="Somewhat unwilling 有些不願意"), 2, 1))))</f>
        <v>1</v>
      </c>
      <c r="AB2" s="18">
        <f t="shared" ref="AA2:AB2" si="1">IF(ISNUMBER(SEARCH("5", K2)), 5, IF(ISNUMBER(SEARCH("4", K2)), 4, IF(ISNUMBER(SEARCH("3", K2)), 3, IF(ISNUMBER(SEARCH("2", K2)), 2, 1))))</f>
        <v>1</v>
      </c>
      <c r="AC2" s="18">
        <f>IF(ISNUMBER(SEARCH("5", L2)), 5, IF(ISNUMBER(SEARCH("4", L2)), 4, IF(ISNUMBER(SEARCH("3", L2)), 3, IF(ISNUMBER(SEARCH("2", L2)), 2, 1))))</f>
        <v>1</v>
      </c>
      <c r="AD2" s="18">
        <f t="shared" ref="AD2:AE2" si="2">IF(ISNUMBER(SEARCH("5", M2)), 5, IF(ISNUMBER(SEARCH("4", M2)), 4, IF(ISNUMBER(SEARCH("3", M2)), 3, IF(ISNUMBER(SEARCH("2", M2)), 2, 1))))</f>
        <v>1</v>
      </c>
      <c r="AE2" s="18">
        <f t="shared" si="2"/>
        <v>1</v>
      </c>
      <c r="AF2" s="18">
        <f t="shared" ref="AF2" si="3">IF(ISNUMBER(SEARCH("5", O2)), 5, IF(ISNUMBER(SEARCH("4", O2)), 4, IF(ISNUMBER(SEARCH("3", O2)), 3, IF(ISNUMBER(SEARCH("2", O2)), 2, 1))))</f>
        <v>1</v>
      </c>
      <c r="AG2" s="18">
        <f t="shared" ref="AG2" si="4">IF(ISNUMBER(SEARCH("5", P2)), 5, IF(ISNUMBER(SEARCH("4", P2)), 4, IF(ISNUMBER(SEARCH("3", P2)), 3, IF(ISNUMBER(SEARCH("2", P2)), 2, 1))))</f>
        <v>1</v>
      </c>
    </row>
    <row r="3" spans="1:33" ht="20" customHeight="1">
      <c r="A3" s="9" t="s">
        <v>35</v>
      </c>
      <c r="B3" s="10" t="s">
        <v>20</v>
      </c>
      <c r="C3" s="11" t="s">
        <v>21</v>
      </c>
      <c r="D3" s="11" t="s">
        <v>22</v>
      </c>
      <c r="E3" s="12">
        <v>3</v>
      </c>
      <c r="F3" s="11" t="s">
        <v>36</v>
      </c>
      <c r="G3" s="11" t="s">
        <v>37</v>
      </c>
      <c r="H3" s="11" t="s">
        <v>38</v>
      </c>
      <c r="I3" s="11" t="s">
        <v>39</v>
      </c>
      <c r="J3" s="11" t="s">
        <v>26</v>
      </c>
      <c r="K3" s="11" t="s">
        <v>40</v>
      </c>
      <c r="L3" s="11" t="s">
        <v>41</v>
      </c>
      <c r="M3" s="11" t="s">
        <v>29</v>
      </c>
      <c r="N3" s="11" t="s">
        <v>42</v>
      </c>
      <c r="O3" s="11" t="s">
        <v>26</v>
      </c>
      <c r="P3" s="11" t="s">
        <v>43</v>
      </c>
      <c r="Q3" s="11" t="s">
        <v>44</v>
      </c>
      <c r="R3" s="11" t="s">
        <v>45</v>
      </c>
      <c r="S3" s="18">
        <f t="shared" ref="S3:S66" si="5">IF(ISNUMBER(SEARCH("5", B3)), 5, IF(ISNUMBER(SEARCH("4", B3)), 4, IF(ISNUMBER(SEARCH("3", B3)), 3, IF(ISNUMBER(SEARCH("2", B3)), 2, 1))))</f>
        <v>2</v>
      </c>
      <c r="T3" s="18">
        <f t="shared" ref="T3:T66" si="6">IF(ISNUMBER(SEARCH("5", C3)), 5, IF(ISNUMBER(SEARCH("4", C3)), 4, IF(ISNUMBER(SEARCH("3", C3)), 3, IF(ISNUMBER(SEARCH("2", C3)), 2, 1))))</f>
        <v>1</v>
      </c>
      <c r="U3" s="18">
        <f t="shared" ref="U3:U66" si="7">IF(ISNUMBER(SEARCH("5", D3)), 5, IF(ISNUMBER(SEARCH("4", D3)), 4, IF(ISNUMBER(SEARCH("3", D3)), 3, IF(ISNUMBER(SEARCH("2", D3)), 2, 1))))</f>
        <v>1</v>
      </c>
      <c r="V3" s="18">
        <f t="shared" ref="V3:V66" si="8">IF(ISNUMBER(SEARCH("5", E3)), 5, IF(ISNUMBER(SEARCH("4", E3)), 4, IF(ISNUMBER(SEARCH("3", E3)), 3, IF(ISNUMBER(SEARCH("2", E3)), 2, 1))))</f>
        <v>3</v>
      </c>
      <c r="W3" s="18">
        <f t="shared" ref="W3:W66" si="9">IF(ISNUMBER(SEARCH("5", F3)), 5, IF(ISNUMBER(SEARCH("4", F3)), 4, IF(ISNUMBER(SEARCH("3", F3)), 3, IF(ISNUMBER(SEARCH("2", F3)), 2, 1))))</f>
        <v>1</v>
      </c>
      <c r="X3" s="18">
        <f t="shared" ref="X3:X66" si="10">IF(ISNUMBER(SEARCH("5", G3)), 5, IF(ISNUMBER(SEARCH("4", G3)), 4, IF(ISNUMBER(SEARCH("3", G3)), 3, IF(ISNUMBER(SEARCH("2", G3)), 2, 1))))</f>
        <v>1</v>
      </c>
      <c r="Y3" s="18">
        <f t="shared" ref="Y3:Y66" si="11">IF(ISNUMBER(SEARCH("5", H3)), 5, IF(ISNUMBER(SEARCH("4", H3)), 4, IF(ISNUMBER(SEARCH("3", H3)), 3, IF(ISNUMBER(SEARCH("2", H3)), 2, 1))))</f>
        <v>1</v>
      </c>
      <c r="Z3" s="18">
        <f t="shared" ref="Z3:Z66" si="12">IF(ISNUMBER(SEARCH("5", I3)), 5, IF(ISNUMBER(SEARCH("4", I3)), 4, IF(ISNUMBER(SEARCH("3", I3)), 3, IF(ISNUMBER(SEARCH("2", I3)), 2, 1))))</f>
        <v>1</v>
      </c>
      <c r="AA3" s="18">
        <f t="shared" ref="AA3:AA66" si="13">IF(OR(J3="Very familiar", J3="Strongly agree 非常同意", J3="Very willing 非常願意"), 5,
 IF(OR(J3="Somewhat familiar", J3="Agree 同意", J3="Somewhat willing 有些願意"), 4,
  IF(OR(J3="Neutral", J3="Neither willing nor unwilling 既不願意也不排斥", B3="Neutral 中立"), 3,
   IF(OR(B3="Not very familiar", B3="Disagree 不同意", B3="Somewhat unwilling 有些不願意"), 2, 1))))</f>
        <v>1</v>
      </c>
      <c r="AB3" s="18">
        <f t="shared" ref="AB3:AB66" si="14">IF(ISNUMBER(SEARCH("5", K3)), 5, IF(ISNUMBER(SEARCH("4", K3)), 4, IF(ISNUMBER(SEARCH("3", K3)), 3, IF(ISNUMBER(SEARCH("2", K3)), 2, 1))))</f>
        <v>1</v>
      </c>
      <c r="AC3" s="18">
        <f>IF(ISNUMBER(SEARCH("5", L3)), 5, IF(ISNUMBER(SEARCH("4", L3)), 4, IF(ISNUMBER(SEARCH("3", L3)), 3, IF(ISNUMBER(SEARCH("2", L3)), 2, 1))))</f>
        <v>1</v>
      </c>
      <c r="AD3" s="18">
        <f t="shared" ref="AD3:AD66" si="15">IF(ISNUMBER(SEARCH("5", M3)), 5, IF(ISNUMBER(SEARCH("4", M3)), 4, IF(ISNUMBER(SEARCH("3", M3)), 3, IF(ISNUMBER(SEARCH("2", M3)), 2, 1))))</f>
        <v>1</v>
      </c>
    </row>
    <row r="4" spans="1:33" ht="20" customHeight="1">
      <c r="A4" s="9" t="s">
        <v>46</v>
      </c>
      <c r="B4" s="10" t="s">
        <v>47</v>
      </c>
      <c r="C4" s="11" t="s">
        <v>21</v>
      </c>
      <c r="D4" s="11" t="s">
        <v>22</v>
      </c>
      <c r="E4" s="12">
        <v>4</v>
      </c>
      <c r="F4" s="11" t="s">
        <v>23</v>
      </c>
      <c r="G4" s="11" t="s">
        <v>24</v>
      </c>
      <c r="H4" s="13"/>
      <c r="I4" s="11" t="s">
        <v>48</v>
      </c>
      <c r="J4" s="11" t="s">
        <v>49</v>
      </c>
      <c r="K4" s="11" t="s">
        <v>40</v>
      </c>
      <c r="L4" s="11" t="s">
        <v>41</v>
      </c>
      <c r="M4" s="11" t="s">
        <v>21</v>
      </c>
      <c r="N4" s="11" t="s">
        <v>50</v>
      </c>
      <c r="O4" s="11" t="s">
        <v>49</v>
      </c>
      <c r="P4" s="11" t="s">
        <v>43</v>
      </c>
      <c r="Q4" s="11" t="s">
        <v>51</v>
      </c>
      <c r="R4" s="11" t="s">
        <v>52</v>
      </c>
      <c r="S4" s="18">
        <f t="shared" si="5"/>
        <v>1</v>
      </c>
      <c r="T4" s="18">
        <f t="shared" si="6"/>
        <v>1</v>
      </c>
      <c r="U4" s="18">
        <f t="shared" si="7"/>
        <v>1</v>
      </c>
      <c r="V4" s="18">
        <f t="shared" si="8"/>
        <v>4</v>
      </c>
      <c r="W4" s="18">
        <f t="shared" si="9"/>
        <v>1</v>
      </c>
      <c r="X4" s="18">
        <f t="shared" si="10"/>
        <v>1</v>
      </c>
      <c r="Y4" s="18">
        <f t="shared" si="11"/>
        <v>1</v>
      </c>
      <c r="Z4" s="18">
        <f t="shared" si="12"/>
        <v>1</v>
      </c>
      <c r="AA4" s="18">
        <f t="shared" si="13"/>
        <v>1</v>
      </c>
      <c r="AB4" s="18">
        <f t="shared" si="14"/>
        <v>1</v>
      </c>
      <c r="AC4" s="18">
        <f t="shared" ref="AC3:AC66" si="16">IF(ISNUMBER(SEARCH("5", L4)), 5, IF(ISNUMBER(SEARCH("4", L4)), 4, IF(ISNUMBER(SEARCH("3", L4)), 3, IF(ISNUMBER(SEARCH("2", L4)), 2, 1))))</f>
        <v>1</v>
      </c>
      <c r="AD4" s="18">
        <f t="shared" si="15"/>
        <v>1</v>
      </c>
    </row>
    <row r="5" spans="1:33" ht="20" customHeight="1">
      <c r="A5" s="9" t="s">
        <v>53</v>
      </c>
      <c r="B5" s="10" t="s">
        <v>20</v>
      </c>
      <c r="C5" s="11" t="s">
        <v>21</v>
      </c>
      <c r="D5" s="11" t="s">
        <v>22</v>
      </c>
      <c r="E5" s="12">
        <v>3</v>
      </c>
      <c r="F5" s="11" t="s">
        <v>23</v>
      </c>
      <c r="G5" s="11" t="s">
        <v>37</v>
      </c>
      <c r="H5" s="13"/>
      <c r="I5" s="11" t="s">
        <v>39</v>
      </c>
      <c r="J5" s="11" t="s">
        <v>54</v>
      </c>
      <c r="K5" s="11" t="s">
        <v>55</v>
      </c>
      <c r="L5" s="11" t="s">
        <v>56</v>
      </c>
      <c r="M5" s="11" t="s">
        <v>29</v>
      </c>
      <c r="N5" s="11" t="s">
        <v>50</v>
      </c>
      <c r="O5" s="11" t="s">
        <v>49</v>
      </c>
      <c r="P5" s="11" t="s">
        <v>57</v>
      </c>
      <c r="Q5" s="11" t="s">
        <v>58</v>
      </c>
      <c r="R5" s="11" t="s">
        <v>59</v>
      </c>
      <c r="S5" s="18">
        <f t="shared" si="5"/>
        <v>2</v>
      </c>
      <c r="T5" s="18">
        <f t="shared" si="6"/>
        <v>1</v>
      </c>
      <c r="U5" s="18">
        <f t="shared" si="7"/>
        <v>1</v>
      </c>
      <c r="V5" s="18">
        <f t="shared" si="8"/>
        <v>3</v>
      </c>
      <c r="W5" s="18">
        <f t="shared" si="9"/>
        <v>1</v>
      </c>
      <c r="X5" s="18">
        <f t="shared" si="10"/>
        <v>1</v>
      </c>
      <c r="Y5" s="18">
        <f t="shared" si="11"/>
        <v>1</v>
      </c>
      <c r="Z5" s="18">
        <f t="shared" si="12"/>
        <v>1</v>
      </c>
      <c r="AA5" s="18">
        <f t="shared" si="13"/>
        <v>1</v>
      </c>
      <c r="AB5" s="18">
        <f t="shared" si="14"/>
        <v>1</v>
      </c>
      <c r="AC5" s="18">
        <f>IF(ISNUMBER(SEARCH("5", L5)), 5, IF(ISNUMBER(SEARCH("4", L5)), 4, IF(ISNUMBER(SEARCH("3", L5)), 3, IF(ISNUMBER(SEARCH("2", L5)), 2, 1))))</f>
        <v>1</v>
      </c>
      <c r="AD5" s="18">
        <f t="shared" si="15"/>
        <v>1</v>
      </c>
    </row>
    <row r="6" spans="1:33" ht="20" customHeight="1">
      <c r="A6" s="9" t="s">
        <v>60</v>
      </c>
      <c r="B6" s="10" t="s">
        <v>20</v>
      </c>
      <c r="C6" s="11" t="s">
        <v>21</v>
      </c>
      <c r="D6" s="11" t="s">
        <v>22</v>
      </c>
      <c r="E6" s="12">
        <v>3</v>
      </c>
      <c r="F6" s="11" t="s">
        <v>36</v>
      </c>
      <c r="G6" s="11" t="s">
        <v>61</v>
      </c>
      <c r="H6" s="11" t="s">
        <v>38</v>
      </c>
      <c r="I6" s="11" t="s">
        <v>25</v>
      </c>
      <c r="J6" s="11" t="s">
        <v>26</v>
      </c>
      <c r="K6" s="11" t="s">
        <v>62</v>
      </c>
      <c r="L6" s="11" t="s">
        <v>41</v>
      </c>
      <c r="M6" s="11" t="s">
        <v>21</v>
      </c>
      <c r="N6" s="11" t="s">
        <v>63</v>
      </c>
      <c r="O6" s="11" t="s">
        <v>54</v>
      </c>
      <c r="P6" s="11" t="s">
        <v>57</v>
      </c>
      <c r="Q6" s="11" t="s">
        <v>44</v>
      </c>
      <c r="R6" s="11" t="s">
        <v>64</v>
      </c>
      <c r="S6" s="18">
        <f t="shared" si="5"/>
        <v>2</v>
      </c>
      <c r="T6" s="18">
        <f t="shared" si="6"/>
        <v>1</v>
      </c>
      <c r="U6" s="18">
        <f t="shared" si="7"/>
        <v>1</v>
      </c>
      <c r="V6" s="18">
        <f t="shared" si="8"/>
        <v>3</v>
      </c>
      <c r="W6" s="18">
        <f t="shared" si="9"/>
        <v>1</v>
      </c>
      <c r="X6" s="18">
        <f t="shared" si="10"/>
        <v>3</v>
      </c>
      <c r="Y6" s="18">
        <f t="shared" si="11"/>
        <v>1</v>
      </c>
      <c r="Z6" s="18">
        <f t="shared" si="12"/>
        <v>1</v>
      </c>
      <c r="AA6" s="18">
        <f t="shared" si="13"/>
        <v>1</v>
      </c>
      <c r="AB6" s="18">
        <f t="shared" si="14"/>
        <v>1</v>
      </c>
      <c r="AC6" s="18">
        <f t="shared" si="16"/>
        <v>1</v>
      </c>
      <c r="AD6" s="18">
        <f t="shared" si="15"/>
        <v>1</v>
      </c>
    </row>
    <row r="7" spans="1:33" ht="20" customHeight="1">
      <c r="A7" s="9" t="s">
        <v>65</v>
      </c>
      <c r="B7" s="10" t="s">
        <v>20</v>
      </c>
      <c r="C7" s="11" t="s">
        <v>21</v>
      </c>
      <c r="D7" s="11" t="s">
        <v>22</v>
      </c>
      <c r="E7" s="12">
        <v>3</v>
      </c>
      <c r="F7" s="11" t="s">
        <v>23</v>
      </c>
      <c r="G7" s="11" t="s">
        <v>61</v>
      </c>
      <c r="H7" s="13"/>
      <c r="I7" s="11" t="s">
        <v>25</v>
      </c>
      <c r="J7" s="11" t="s">
        <v>54</v>
      </c>
      <c r="K7" s="11" t="s">
        <v>55</v>
      </c>
      <c r="L7" s="11" t="s">
        <v>66</v>
      </c>
      <c r="M7" s="11" t="s">
        <v>67</v>
      </c>
      <c r="N7" s="11" t="s">
        <v>68</v>
      </c>
      <c r="O7" s="11" t="s">
        <v>49</v>
      </c>
      <c r="P7" s="11" t="s">
        <v>57</v>
      </c>
      <c r="Q7" s="11" t="s">
        <v>58</v>
      </c>
      <c r="R7" s="11" t="s">
        <v>45</v>
      </c>
      <c r="S7" s="18">
        <f t="shared" si="5"/>
        <v>2</v>
      </c>
      <c r="T7" s="18">
        <f t="shared" si="6"/>
        <v>1</v>
      </c>
      <c r="U7" s="18">
        <f t="shared" si="7"/>
        <v>1</v>
      </c>
      <c r="V7" s="18">
        <f t="shared" si="8"/>
        <v>3</v>
      </c>
      <c r="W7" s="18">
        <f t="shared" si="9"/>
        <v>1</v>
      </c>
      <c r="X7" s="18">
        <f t="shared" si="10"/>
        <v>3</v>
      </c>
      <c r="Y7" s="18">
        <f t="shared" si="11"/>
        <v>1</v>
      </c>
      <c r="Z7" s="18">
        <f t="shared" si="12"/>
        <v>1</v>
      </c>
      <c r="AA7" s="18">
        <f t="shared" si="13"/>
        <v>1</v>
      </c>
      <c r="AB7" s="18">
        <f t="shared" si="14"/>
        <v>1</v>
      </c>
      <c r="AC7" s="18">
        <f t="shared" si="16"/>
        <v>1</v>
      </c>
      <c r="AD7" s="18">
        <f t="shared" si="15"/>
        <v>1</v>
      </c>
    </row>
    <row r="8" spans="1:33" ht="20" customHeight="1">
      <c r="A8" s="9" t="s">
        <v>69</v>
      </c>
      <c r="B8" s="10" t="s">
        <v>20</v>
      </c>
      <c r="C8" s="11" t="s">
        <v>21</v>
      </c>
      <c r="D8" s="11" t="s">
        <v>22</v>
      </c>
      <c r="E8" s="11" t="s">
        <v>70</v>
      </c>
      <c r="F8" s="11" t="s">
        <v>71</v>
      </c>
      <c r="G8" s="11" t="s">
        <v>37</v>
      </c>
      <c r="H8" s="11" t="s">
        <v>72</v>
      </c>
      <c r="I8" s="11" t="s">
        <v>39</v>
      </c>
      <c r="J8" s="11" t="s">
        <v>54</v>
      </c>
      <c r="K8" s="11" t="s">
        <v>40</v>
      </c>
      <c r="L8" s="11" t="s">
        <v>73</v>
      </c>
      <c r="M8" s="11" t="s">
        <v>67</v>
      </c>
      <c r="N8" s="11" t="s">
        <v>74</v>
      </c>
      <c r="O8" s="11" t="s">
        <v>49</v>
      </c>
      <c r="P8" s="11" t="s">
        <v>57</v>
      </c>
      <c r="Q8" s="11" t="s">
        <v>44</v>
      </c>
      <c r="R8" s="11" t="s">
        <v>64</v>
      </c>
      <c r="S8" s="18">
        <f t="shared" si="5"/>
        <v>2</v>
      </c>
      <c r="T8" s="18">
        <f t="shared" si="6"/>
        <v>1</v>
      </c>
      <c r="U8" s="18">
        <f t="shared" si="7"/>
        <v>1</v>
      </c>
      <c r="V8" s="18">
        <f t="shared" si="8"/>
        <v>1</v>
      </c>
      <c r="W8" s="18">
        <f t="shared" si="9"/>
        <v>1</v>
      </c>
      <c r="X8" s="18">
        <f t="shared" si="10"/>
        <v>1</v>
      </c>
      <c r="Y8" s="18">
        <f t="shared" si="11"/>
        <v>1</v>
      </c>
      <c r="Z8" s="18">
        <f t="shared" si="12"/>
        <v>1</v>
      </c>
      <c r="AA8" s="18">
        <f t="shared" si="13"/>
        <v>1</v>
      </c>
      <c r="AB8" s="18">
        <f t="shared" si="14"/>
        <v>1</v>
      </c>
      <c r="AC8" s="18">
        <f t="shared" si="16"/>
        <v>1</v>
      </c>
      <c r="AD8" s="18">
        <f t="shared" si="15"/>
        <v>1</v>
      </c>
    </row>
    <row r="9" spans="1:33" ht="20" customHeight="1">
      <c r="A9" s="9" t="s">
        <v>75</v>
      </c>
      <c r="B9" s="10" t="s">
        <v>47</v>
      </c>
      <c r="C9" s="11" t="s">
        <v>21</v>
      </c>
      <c r="D9" s="11" t="s">
        <v>22</v>
      </c>
      <c r="E9" s="11" t="s">
        <v>70</v>
      </c>
      <c r="F9" s="11" t="s">
        <v>23</v>
      </c>
      <c r="G9" s="11" t="s">
        <v>37</v>
      </c>
      <c r="H9" s="11" t="s">
        <v>76</v>
      </c>
      <c r="I9" s="11" t="s">
        <v>48</v>
      </c>
      <c r="J9" s="11" t="s">
        <v>26</v>
      </c>
      <c r="K9" s="11" t="s">
        <v>62</v>
      </c>
      <c r="L9" s="11" t="s">
        <v>73</v>
      </c>
      <c r="M9" s="11" t="s">
        <v>29</v>
      </c>
      <c r="N9" s="11" t="s">
        <v>77</v>
      </c>
      <c r="O9" s="11" t="s">
        <v>49</v>
      </c>
      <c r="P9" s="11" t="s">
        <v>57</v>
      </c>
      <c r="Q9" s="11" t="s">
        <v>78</v>
      </c>
      <c r="R9" s="11" t="s">
        <v>34</v>
      </c>
      <c r="S9" s="18">
        <f t="shared" si="5"/>
        <v>1</v>
      </c>
      <c r="T9" s="18">
        <f t="shared" si="6"/>
        <v>1</v>
      </c>
      <c r="U9" s="18">
        <f t="shared" si="7"/>
        <v>1</v>
      </c>
      <c r="V9" s="18">
        <f t="shared" si="8"/>
        <v>1</v>
      </c>
      <c r="W9" s="18">
        <f t="shared" si="9"/>
        <v>1</v>
      </c>
      <c r="X9" s="18">
        <f t="shared" si="10"/>
        <v>1</v>
      </c>
      <c r="Y9" s="18">
        <f t="shared" si="11"/>
        <v>1</v>
      </c>
      <c r="Z9" s="18">
        <f t="shared" si="12"/>
        <v>1</v>
      </c>
      <c r="AA9" s="18">
        <f t="shared" si="13"/>
        <v>1</v>
      </c>
      <c r="AB9" s="18">
        <f t="shared" si="14"/>
        <v>1</v>
      </c>
      <c r="AC9" s="18">
        <f t="shared" si="16"/>
        <v>1</v>
      </c>
      <c r="AD9" s="18">
        <f t="shared" si="15"/>
        <v>1</v>
      </c>
    </row>
    <row r="10" spans="1:33" ht="20" customHeight="1">
      <c r="A10" s="9" t="s">
        <v>79</v>
      </c>
      <c r="B10" s="10" t="s">
        <v>20</v>
      </c>
      <c r="C10" s="11" t="s">
        <v>21</v>
      </c>
      <c r="D10" s="11" t="s">
        <v>22</v>
      </c>
      <c r="E10" s="12">
        <v>2</v>
      </c>
      <c r="F10" s="11" t="s">
        <v>23</v>
      </c>
      <c r="G10" s="11" t="s">
        <v>61</v>
      </c>
      <c r="H10" s="11" t="s">
        <v>72</v>
      </c>
      <c r="I10" s="11" t="s">
        <v>25</v>
      </c>
      <c r="J10" s="11" t="s">
        <v>49</v>
      </c>
      <c r="K10" s="11" t="s">
        <v>80</v>
      </c>
      <c r="L10" s="11" t="s">
        <v>41</v>
      </c>
      <c r="M10" s="11" t="s">
        <v>29</v>
      </c>
      <c r="N10" s="11" t="s">
        <v>81</v>
      </c>
      <c r="O10" s="11" t="s">
        <v>54</v>
      </c>
      <c r="P10" s="11" t="s">
        <v>43</v>
      </c>
      <c r="Q10" s="11" t="s">
        <v>44</v>
      </c>
      <c r="R10" s="11" t="s">
        <v>64</v>
      </c>
      <c r="S10" s="18">
        <f t="shared" si="5"/>
        <v>2</v>
      </c>
      <c r="T10" s="18">
        <f t="shared" si="6"/>
        <v>1</v>
      </c>
      <c r="U10" s="18">
        <f t="shared" si="7"/>
        <v>1</v>
      </c>
      <c r="V10" s="18">
        <f t="shared" si="8"/>
        <v>2</v>
      </c>
      <c r="W10" s="18">
        <f t="shared" si="9"/>
        <v>1</v>
      </c>
      <c r="X10" s="18">
        <f t="shared" si="10"/>
        <v>3</v>
      </c>
      <c r="Y10" s="18">
        <f t="shared" si="11"/>
        <v>1</v>
      </c>
      <c r="Z10" s="18">
        <f t="shared" si="12"/>
        <v>1</v>
      </c>
      <c r="AA10" s="18">
        <f t="shared" si="13"/>
        <v>1</v>
      </c>
      <c r="AB10" s="18">
        <f t="shared" si="14"/>
        <v>1</v>
      </c>
      <c r="AC10" s="18">
        <f t="shared" si="16"/>
        <v>1</v>
      </c>
      <c r="AD10" s="18">
        <f t="shared" si="15"/>
        <v>1</v>
      </c>
    </row>
    <row r="11" spans="1:33" ht="20" customHeight="1">
      <c r="A11" s="9" t="s">
        <v>82</v>
      </c>
      <c r="B11" s="10" t="s">
        <v>20</v>
      </c>
      <c r="C11" s="11" t="s">
        <v>21</v>
      </c>
      <c r="D11" s="11" t="s">
        <v>22</v>
      </c>
      <c r="E11" s="12">
        <v>2</v>
      </c>
      <c r="F11" s="11" t="s">
        <v>36</v>
      </c>
      <c r="G11" s="13"/>
      <c r="H11" s="11" t="s">
        <v>38</v>
      </c>
      <c r="I11" s="11" t="s">
        <v>25</v>
      </c>
      <c r="J11" s="11" t="s">
        <v>54</v>
      </c>
      <c r="K11" s="11" t="s">
        <v>62</v>
      </c>
      <c r="L11" s="11" t="s">
        <v>41</v>
      </c>
      <c r="M11" s="11" t="s">
        <v>29</v>
      </c>
      <c r="N11" s="11" t="s">
        <v>83</v>
      </c>
      <c r="O11" s="11" t="s">
        <v>54</v>
      </c>
      <c r="P11" s="11" t="s">
        <v>57</v>
      </c>
      <c r="Q11" s="11" t="s">
        <v>44</v>
      </c>
      <c r="R11" s="11" t="s">
        <v>64</v>
      </c>
      <c r="S11" s="18">
        <f t="shared" si="5"/>
        <v>2</v>
      </c>
      <c r="T11" s="18">
        <f t="shared" si="6"/>
        <v>1</v>
      </c>
      <c r="U11" s="18">
        <f t="shared" si="7"/>
        <v>1</v>
      </c>
      <c r="V11" s="18">
        <f t="shared" si="8"/>
        <v>2</v>
      </c>
      <c r="W11" s="18">
        <f t="shared" si="9"/>
        <v>1</v>
      </c>
      <c r="X11" s="18">
        <f t="shared" si="10"/>
        <v>1</v>
      </c>
      <c r="Y11" s="18">
        <f t="shared" si="11"/>
        <v>1</v>
      </c>
      <c r="Z11" s="18">
        <f t="shared" si="12"/>
        <v>1</v>
      </c>
      <c r="AA11" s="18">
        <f t="shared" si="13"/>
        <v>1</v>
      </c>
      <c r="AB11" s="18">
        <f t="shared" si="14"/>
        <v>1</v>
      </c>
      <c r="AC11" s="18">
        <f t="shared" si="16"/>
        <v>1</v>
      </c>
      <c r="AD11" s="18">
        <f t="shared" si="15"/>
        <v>1</v>
      </c>
    </row>
    <row r="12" spans="1:33" ht="20" customHeight="1">
      <c r="A12" s="9" t="s">
        <v>84</v>
      </c>
      <c r="B12" s="10" t="s">
        <v>20</v>
      </c>
      <c r="C12" s="11" t="s">
        <v>21</v>
      </c>
      <c r="D12" s="11" t="s">
        <v>22</v>
      </c>
      <c r="E12" s="12">
        <v>3</v>
      </c>
      <c r="F12" s="11" t="s">
        <v>85</v>
      </c>
      <c r="G12" s="11" t="s">
        <v>37</v>
      </c>
      <c r="H12" s="11" t="s">
        <v>86</v>
      </c>
      <c r="I12" s="11" t="s">
        <v>48</v>
      </c>
      <c r="J12" s="11" t="s">
        <v>54</v>
      </c>
      <c r="K12" s="11" t="s">
        <v>62</v>
      </c>
      <c r="L12" s="11" t="s">
        <v>56</v>
      </c>
      <c r="M12" s="11" t="s">
        <v>67</v>
      </c>
      <c r="N12" s="11" t="s">
        <v>87</v>
      </c>
      <c r="O12" s="11" t="s">
        <v>49</v>
      </c>
      <c r="P12" s="11" t="s">
        <v>57</v>
      </c>
      <c r="Q12" s="11" t="s">
        <v>44</v>
      </c>
      <c r="R12" s="11" t="s">
        <v>59</v>
      </c>
      <c r="S12" s="18">
        <f t="shared" si="5"/>
        <v>2</v>
      </c>
      <c r="T12" s="18">
        <f t="shared" si="6"/>
        <v>1</v>
      </c>
      <c r="U12" s="18">
        <f t="shared" si="7"/>
        <v>1</v>
      </c>
      <c r="V12" s="18">
        <f t="shared" si="8"/>
        <v>3</v>
      </c>
      <c r="W12" s="18">
        <f t="shared" si="9"/>
        <v>1</v>
      </c>
      <c r="X12" s="18">
        <f t="shared" si="10"/>
        <v>1</v>
      </c>
      <c r="Y12" s="18">
        <f t="shared" si="11"/>
        <v>1</v>
      </c>
      <c r="Z12" s="18">
        <f t="shared" si="12"/>
        <v>1</v>
      </c>
      <c r="AA12" s="18">
        <f t="shared" si="13"/>
        <v>1</v>
      </c>
      <c r="AB12" s="18">
        <f t="shared" si="14"/>
        <v>1</v>
      </c>
      <c r="AC12" s="18">
        <f t="shared" si="16"/>
        <v>1</v>
      </c>
      <c r="AD12" s="18">
        <f t="shared" si="15"/>
        <v>1</v>
      </c>
    </row>
    <row r="13" spans="1:33" ht="20" customHeight="1">
      <c r="A13" s="9" t="s">
        <v>88</v>
      </c>
      <c r="B13" s="10" t="s">
        <v>47</v>
      </c>
      <c r="C13" s="11" t="s">
        <v>21</v>
      </c>
      <c r="D13" s="11" t="s">
        <v>22</v>
      </c>
      <c r="E13" s="12">
        <v>2</v>
      </c>
      <c r="F13" s="11" t="s">
        <v>36</v>
      </c>
      <c r="G13" s="11" t="s">
        <v>37</v>
      </c>
      <c r="H13" s="11" t="s">
        <v>78</v>
      </c>
      <c r="I13" s="11" t="s">
        <v>25</v>
      </c>
      <c r="J13" s="11" t="s">
        <v>26</v>
      </c>
      <c r="K13" s="11" t="s">
        <v>62</v>
      </c>
      <c r="L13" s="11" t="s">
        <v>66</v>
      </c>
      <c r="M13" s="11" t="s">
        <v>29</v>
      </c>
      <c r="N13" s="11" t="s">
        <v>89</v>
      </c>
      <c r="O13" s="11" t="s">
        <v>26</v>
      </c>
      <c r="P13" s="11" t="s">
        <v>43</v>
      </c>
      <c r="Q13" s="11" t="s">
        <v>51</v>
      </c>
      <c r="R13" s="11" t="s">
        <v>64</v>
      </c>
      <c r="S13" s="18">
        <f t="shared" si="5"/>
        <v>1</v>
      </c>
      <c r="T13" s="18">
        <f t="shared" si="6"/>
        <v>1</v>
      </c>
      <c r="U13" s="18">
        <f t="shared" si="7"/>
        <v>1</v>
      </c>
      <c r="V13" s="18">
        <f t="shared" si="8"/>
        <v>2</v>
      </c>
      <c r="W13" s="18">
        <f t="shared" si="9"/>
        <v>1</v>
      </c>
      <c r="X13" s="18">
        <f t="shared" si="10"/>
        <v>1</v>
      </c>
      <c r="Y13" s="18">
        <f t="shared" si="11"/>
        <v>1</v>
      </c>
      <c r="Z13" s="18">
        <f t="shared" si="12"/>
        <v>1</v>
      </c>
      <c r="AA13" s="18">
        <f t="shared" si="13"/>
        <v>1</v>
      </c>
      <c r="AB13" s="18">
        <f t="shared" si="14"/>
        <v>1</v>
      </c>
      <c r="AC13" s="18">
        <f t="shared" si="16"/>
        <v>1</v>
      </c>
      <c r="AD13" s="18">
        <f t="shared" si="15"/>
        <v>1</v>
      </c>
    </row>
    <row r="14" spans="1:33" ht="20" customHeight="1">
      <c r="A14" s="9" t="s">
        <v>90</v>
      </c>
      <c r="B14" s="10" t="s">
        <v>20</v>
      </c>
      <c r="C14" s="11" t="s">
        <v>21</v>
      </c>
      <c r="D14" s="11" t="s">
        <v>22</v>
      </c>
      <c r="E14" s="11" t="s">
        <v>70</v>
      </c>
      <c r="F14" s="11" t="s">
        <v>71</v>
      </c>
      <c r="G14" s="13"/>
      <c r="H14" s="11" t="s">
        <v>91</v>
      </c>
      <c r="I14" s="11" t="s">
        <v>48</v>
      </c>
      <c r="J14" s="11" t="s">
        <v>49</v>
      </c>
      <c r="K14" s="11" t="s">
        <v>40</v>
      </c>
      <c r="L14" s="11" t="s">
        <v>92</v>
      </c>
      <c r="M14" s="11" t="s">
        <v>29</v>
      </c>
      <c r="N14" s="11" t="s">
        <v>93</v>
      </c>
      <c r="O14" s="11" t="s">
        <v>49</v>
      </c>
      <c r="P14" s="11" t="s">
        <v>57</v>
      </c>
      <c r="Q14" s="13"/>
      <c r="R14" s="13"/>
      <c r="S14" s="18">
        <f t="shared" si="5"/>
        <v>2</v>
      </c>
      <c r="T14" s="18">
        <f t="shared" si="6"/>
        <v>1</v>
      </c>
      <c r="U14" s="18">
        <f t="shared" si="7"/>
        <v>1</v>
      </c>
      <c r="V14" s="18">
        <f t="shared" si="8"/>
        <v>1</v>
      </c>
      <c r="W14" s="18">
        <f t="shared" si="9"/>
        <v>1</v>
      </c>
      <c r="X14" s="18">
        <f t="shared" si="10"/>
        <v>1</v>
      </c>
      <c r="Y14" s="18">
        <f t="shared" si="11"/>
        <v>1</v>
      </c>
      <c r="Z14" s="18">
        <f t="shared" si="12"/>
        <v>1</v>
      </c>
      <c r="AA14" s="18">
        <f t="shared" si="13"/>
        <v>1</v>
      </c>
      <c r="AB14" s="18">
        <f t="shared" si="14"/>
        <v>1</v>
      </c>
      <c r="AC14" s="18">
        <f t="shared" si="16"/>
        <v>1</v>
      </c>
      <c r="AD14" s="18">
        <f t="shared" si="15"/>
        <v>1</v>
      </c>
    </row>
    <row r="15" spans="1:33" ht="20" customHeight="1">
      <c r="A15" s="9" t="s">
        <v>94</v>
      </c>
      <c r="B15" s="10" t="s">
        <v>20</v>
      </c>
      <c r="C15" s="11" t="s">
        <v>21</v>
      </c>
      <c r="D15" s="11" t="s">
        <v>22</v>
      </c>
      <c r="E15" s="12">
        <v>3</v>
      </c>
      <c r="F15" s="11" t="s">
        <v>36</v>
      </c>
      <c r="G15" s="11" t="s">
        <v>37</v>
      </c>
      <c r="H15" s="11" t="s">
        <v>72</v>
      </c>
      <c r="I15" s="11" t="s">
        <v>48</v>
      </c>
      <c r="J15" s="11" t="s">
        <v>26</v>
      </c>
      <c r="K15" s="11" t="s">
        <v>62</v>
      </c>
      <c r="L15" s="11" t="s">
        <v>73</v>
      </c>
      <c r="M15" s="11" t="s">
        <v>67</v>
      </c>
      <c r="N15" s="11" t="s">
        <v>68</v>
      </c>
      <c r="O15" s="11" t="s">
        <v>26</v>
      </c>
      <c r="P15" s="11" t="s">
        <v>57</v>
      </c>
      <c r="Q15" s="11" t="s">
        <v>44</v>
      </c>
      <c r="R15" s="11" t="s">
        <v>59</v>
      </c>
      <c r="S15" s="18">
        <f t="shared" si="5"/>
        <v>2</v>
      </c>
      <c r="T15" s="18">
        <f t="shared" si="6"/>
        <v>1</v>
      </c>
      <c r="U15" s="18">
        <f t="shared" si="7"/>
        <v>1</v>
      </c>
      <c r="V15" s="18">
        <f t="shared" si="8"/>
        <v>3</v>
      </c>
      <c r="W15" s="18">
        <f t="shared" si="9"/>
        <v>1</v>
      </c>
      <c r="X15" s="18">
        <f t="shared" si="10"/>
        <v>1</v>
      </c>
      <c r="Y15" s="18">
        <f t="shared" si="11"/>
        <v>1</v>
      </c>
      <c r="Z15" s="18">
        <f t="shared" si="12"/>
        <v>1</v>
      </c>
      <c r="AA15" s="18">
        <f t="shared" si="13"/>
        <v>1</v>
      </c>
      <c r="AB15" s="18">
        <f t="shared" si="14"/>
        <v>1</v>
      </c>
      <c r="AC15" s="18">
        <f t="shared" si="16"/>
        <v>1</v>
      </c>
      <c r="AD15" s="18">
        <f t="shared" si="15"/>
        <v>1</v>
      </c>
    </row>
    <row r="16" spans="1:33" ht="20" customHeight="1">
      <c r="A16" s="9" t="s">
        <v>95</v>
      </c>
      <c r="B16" s="10" t="s">
        <v>20</v>
      </c>
      <c r="C16" s="11" t="s">
        <v>21</v>
      </c>
      <c r="D16" s="11" t="s">
        <v>22</v>
      </c>
      <c r="E16" s="11" t="s">
        <v>96</v>
      </c>
      <c r="F16" s="11" t="s">
        <v>23</v>
      </c>
      <c r="G16" s="11" t="s">
        <v>97</v>
      </c>
      <c r="H16" s="13"/>
      <c r="I16" s="11" t="s">
        <v>25</v>
      </c>
      <c r="J16" s="11" t="s">
        <v>26</v>
      </c>
      <c r="K16" s="11" t="s">
        <v>27</v>
      </c>
      <c r="L16" s="11" t="s">
        <v>73</v>
      </c>
      <c r="M16" s="11" t="s">
        <v>29</v>
      </c>
      <c r="N16" s="11" t="s">
        <v>68</v>
      </c>
      <c r="O16" s="11" t="s">
        <v>54</v>
      </c>
      <c r="P16" s="11" t="s">
        <v>98</v>
      </c>
      <c r="Q16" s="11" t="s">
        <v>78</v>
      </c>
      <c r="R16" s="11" t="s">
        <v>45</v>
      </c>
      <c r="S16" s="18">
        <f t="shared" si="5"/>
        <v>2</v>
      </c>
      <c r="T16" s="18">
        <f t="shared" si="6"/>
        <v>1</v>
      </c>
      <c r="U16" s="18">
        <f t="shared" si="7"/>
        <v>1</v>
      </c>
      <c r="V16" s="18">
        <f t="shared" si="8"/>
        <v>5</v>
      </c>
      <c r="W16" s="18">
        <f t="shared" si="9"/>
        <v>1</v>
      </c>
      <c r="X16" s="18">
        <f t="shared" si="10"/>
        <v>4</v>
      </c>
      <c r="Y16" s="18">
        <f t="shared" si="11"/>
        <v>1</v>
      </c>
      <c r="Z16" s="18">
        <f t="shared" si="12"/>
        <v>1</v>
      </c>
      <c r="AA16" s="18">
        <f t="shared" si="13"/>
        <v>1</v>
      </c>
      <c r="AB16" s="18">
        <f t="shared" si="14"/>
        <v>1</v>
      </c>
      <c r="AC16" s="18">
        <f t="shared" si="16"/>
        <v>1</v>
      </c>
      <c r="AD16" s="18">
        <f t="shared" si="15"/>
        <v>1</v>
      </c>
    </row>
    <row r="17" spans="1:30" ht="20" customHeight="1">
      <c r="A17" s="9" t="s">
        <v>99</v>
      </c>
      <c r="B17" s="10" t="s">
        <v>20</v>
      </c>
      <c r="C17" s="11" t="s">
        <v>21</v>
      </c>
      <c r="D17" s="11" t="s">
        <v>22</v>
      </c>
      <c r="E17" s="12">
        <v>2</v>
      </c>
      <c r="F17" s="11" t="s">
        <v>36</v>
      </c>
      <c r="G17" s="11" t="s">
        <v>37</v>
      </c>
      <c r="H17" s="11" t="s">
        <v>38</v>
      </c>
      <c r="I17" s="11" t="s">
        <v>25</v>
      </c>
      <c r="J17" s="11" t="s">
        <v>49</v>
      </c>
      <c r="K17" s="11" t="s">
        <v>62</v>
      </c>
      <c r="L17" s="11" t="s">
        <v>73</v>
      </c>
      <c r="M17" s="11" t="s">
        <v>67</v>
      </c>
      <c r="N17" s="11" t="s">
        <v>100</v>
      </c>
      <c r="O17" s="11" t="s">
        <v>49</v>
      </c>
      <c r="P17" s="11" t="s">
        <v>57</v>
      </c>
      <c r="Q17" s="11" t="s">
        <v>58</v>
      </c>
      <c r="R17" s="11" t="s">
        <v>59</v>
      </c>
      <c r="S17" s="18">
        <f t="shared" si="5"/>
        <v>2</v>
      </c>
      <c r="T17" s="18">
        <f t="shared" si="6"/>
        <v>1</v>
      </c>
      <c r="U17" s="18">
        <f t="shared" si="7"/>
        <v>1</v>
      </c>
      <c r="V17" s="18">
        <f t="shared" si="8"/>
        <v>2</v>
      </c>
      <c r="W17" s="18">
        <f t="shared" si="9"/>
        <v>1</v>
      </c>
      <c r="X17" s="18">
        <f t="shared" si="10"/>
        <v>1</v>
      </c>
      <c r="Y17" s="18">
        <f t="shared" si="11"/>
        <v>1</v>
      </c>
      <c r="Z17" s="18">
        <f t="shared" si="12"/>
        <v>1</v>
      </c>
      <c r="AA17" s="18">
        <f t="shared" si="13"/>
        <v>1</v>
      </c>
      <c r="AB17" s="18">
        <f t="shared" si="14"/>
        <v>1</v>
      </c>
      <c r="AC17" s="18">
        <f t="shared" si="16"/>
        <v>1</v>
      </c>
      <c r="AD17" s="18">
        <f t="shared" si="15"/>
        <v>1</v>
      </c>
    </row>
    <row r="18" spans="1:30" ht="20" customHeight="1">
      <c r="A18" s="9" t="s">
        <v>101</v>
      </c>
      <c r="B18" s="10" t="s">
        <v>20</v>
      </c>
      <c r="C18" s="11" t="s">
        <v>21</v>
      </c>
      <c r="D18" s="11" t="s">
        <v>22</v>
      </c>
      <c r="E18" s="12">
        <v>3</v>
      </c>
      <c r="F18" s="11" t="s">
        <v>36</v>
      </c>
      <c r="G18" s="11" t="s">
        <v>37</v>
      </c>
      <c r="H18" s="11" t="s">
        <v>72</v>
      </c>
      <c r="I18" s="11" t="s">
        <v>25</v>
      </c>
      <c r="J18" s="11" t="s">
        <v>54</v>
      </c>
      <c r="K18" s="11" t="s">
        <v>62</v>
      </c>
      <c r="L18" s="11" t="s">
        <v>41</v>
      </c>
      <c r="M18" s="11" t="s">
        <v>67</v>
      </c>
      <c r="N18" s="11" t="s">
        <v>102</v>
      </c>
      <c r="O18" s="11" t="s">
        <v>49</v>
      </c>
      <c r="P18" s="11" t="s">
        <v>57</v>
      </c>
      <c r="Q18" s="11" t="s">
        <v>58</v>
      </c>
      <c r="R18" s="11" t="s">
        <v>52</v>
      </c>
      <c r="S18" s="18">
        <f t="shared" si="5"/>
        <v>2</v>
      </c>
      <c r="T18" s="18">
        <f t="shared" si="6"/>
        <v>1</v>
      </c>
      <c r="U18" s="18">
        <f t="shared" si="7"/>
        <v>1</v>
      </c>
      <c r="V18" s="18">
        <f t="shared" si="8"/>
        <v>3</v>
      </c>
      <c r="W18" s="18">
        <f t="shared" si="9"/>
        <v>1</v>
      </c>
      <c r="X18" s="18">
        <f t="shared" si="10"/>
        <v>1</v>
      </c>
      <c r="Y18" s="18">
        <f t="shared" si="11"/>
        <v>1</v>
      </c>
      <c r="Z18" s="18">
        <f t="shared" si="12"/>
        <v>1</v>
      </c>
      <c r="AA18" s="18">
        <f t="shared" si="13"/>
        <v>1</v>
      </c>
      <c r="AB18" s="18">
        <f t="shared" si="14"/>
        <v>1</v>
      </c>
      <c r="AC18" s="18">
        <f t="shared" si="16"/>
        <v>1</v>
      </c>
      <c r="AD18" s="18">
        <f t="shared" si="15"/>
        <v>1</v>
      </c>
    </row>
    <row r="19" spans="1:30" ht="20" customHeight="1">
      <c r="A19" s="9" t="s">
        <v>103</v>
      </c>
      <c r="B19" s="10" t="s">
        <v>47</v>
      </c>
      <c r="C19" s="11" t="s">
        <v>21</v>
      </c>
      <c r="D19" s="11" t="s">
        <v>22</v>
      </c>
      <c r="E19" s="12">
        <v>2</v>
      </c>
      <c r="F19" s="11" t="s">
        <v>36</v>
      </c>
      <c r="G19" s="11" t="s">
        <v>37</v>
      </c>
      <c r="H19" s="11" t="s">
        <v>38</v>
      </c>
      <c r="I19" s="11" t="s">
        <v>25</v>
      </c>
      <c r="J19" s="11" t="s">
        <v>49</v>
      </c>
      <c r="K19" s="11" t="s">
        <v>40</v>
      </c>
      <c r="L19" s="11" t="s">
        <v>41</v>
      </c>
      <c r="M19" s="11" t="s">
        <v>67</v>
      </c>
      <c r="N19" s="11" t="s">
        <v>78</v>
      </c>
      <c r="O19" s="11" t="s">
        <v>54</v>
      </c>
      <c r="P19" s="11" t="s">
        <v>57</v>
      </c>
      <c r="Q19" s="11" t="s">
        <v>78</v>
      </c>
      <c r="R19" s="11" t="s">
        <v>78</v>
      </c>
      <c r="S19" s="18">
        <f t="shared" si="5"/>
        <v>1</v>
      </c>
      <c r="T19" s="18">
        <f t="shared" si="6"/>
        <v>1</v>
      </c>
      <c r="U19" s="18">
        <f t="shared" si="7"/>
        <v>1</v>
      </c>
      <c r="V19" s="18">
        <f t="shared" si="8"/>
        <v>2</v>
      </c>
      <c r="W19" s="18">
        <f t="shared" si="9"/>
        <v>1</v>
      </c>
      <c r="X19" s="18">
        <f t="shared" si="10"/>
        <v>1</v>
      </c>
      <c r="Y19" s="18">
        <f t="shared" si="11"/>
        <v>1</v>
      </c>
      <c r="Z19" s="18">
        <f t="shared" si="12"/>
        <v>1</v>
      </c>
      <c r="AA19" s="18">
        <f t="shared" si="13"/>
        <v>1</v>
      </c>
      <c r="AB19" s="18">
        <f t="shared" si="14"/>
        <v>1</v>
      </c>
      <c r="AC19" s="18">
        <f t="shared" si="16"/>
        <v>1</v>
      </c>
      <c r="AD19" s="18">
        <f t="shared" si="15"/>
        <v>1</v>
      </c>
    </row>
    <row r="20" spans="1:30" ht="20" customHeight="1">
      <c r="A20" s="9" t="s">
        <v>104</v>
      </c>
      <c r="B20" s="10" t="s">
        <v>20</v>
      </c>
      <c r="C20" s="11" t="s">
        <v>21</v>
      </c>
      <c r="D20" s="11" t="s">
        <v>22</v>
      </c>
      <c r="E20" s="12">
        <v>4</v>
      </c>
      <c r="F20" s="11" t="s">
        <v>36</v>
      </c>
      <c r="G20" s="11" t="s">
        <v>37</v>
      </c>
      <c r="H20" s="11" t="s">
        <v>78</v>
      </c>
      <c r="I20" s="11" t="s">
        <v>25</v>
      </c>
      <c r="J20" s="11" t="s">
        <v>54</v>
      </c>
      <c r="K20" s="11" t="s">
        <v>55</v>
      </c>
      <c r="L20" s="11" t="s">
        <v>73</v>
      </c>
      <c r="M20" s="11" t="s">
        <v>29</v>
      </c>
      <c r="N20" s="11" t="s">
        <v>93</v>
      </c>
      <c r="O20" s="11" t="s">
        <v>54</v>
      </c>
      <c r="P20" s="11" t="s">
        <v>57</v>
      </c>
      <c r="Q20" s="11" t="s">
        <v>44</v>
      </c>
      <c r="R20" s="11" t="s">
        <v>78</v>
      </c>
      <c r="S20" s="18">
        <f t="shared" si="5"/>
        <v>2</v>
      </c>
      <c r="T20" s="18">
        <f t="shared" si="6"/>
        <v>1</v>
      </c>
      <c r="U20" s="18">
        <f t="shared" si="7"/>
        <v>1</v>
      </c>
      <c r="V20" s="18">
        <f t="shared" si="8"/>
        <v>4</v>
      </c>
      <c r="W20" s="18">
        <f t="shared" si="9"/>
        <v>1</v>
      </c>
      <c r="X20" s="18">
        <f t="shared" si="10"/>
        <v>1</v>
      </c>
      <c r="Y20" s="18">
        <f t="shared" si="11"/>
        <v>1</v>
      </c>
      <c r="Z20" s="18">
        <f t="shared" si="12"/>
        <v>1</v>
      </c>
      <c r="AA20" s="18">
        <f t="shared" si="13"/>
        <v>1</v>
      </c>
      <c r="AB20" s="18">
        <f t="shared" si="14"/>
        <v>1</v>
      </c>
      <c r="AC20" s="18">
        <f t="shared" si="16"/>
        <v>1</v>
      </c>
      <c r="AD20" s="18">
        <f t="shared" si="15"/>
        <v>1</v>
      </c>
    </row>
    <row r="21" spans="1:30" ht="20" customHeight="1">
      <c r="A21" s="9" t="s">
        <v>105</v>
      </c>
      <c r="B21" s="10" t="s">
        <v>20</v>
      </c>
      <c r="C21" s="11" t="s">
        <v>21</v>
      </c>
      <c r="D21" s="11" t="s">
        <v>22</v>
      </c>
      <c r="E21" s="12">
        <v>2</v>
      </c>
      <c r="F21" s="11" t="s">
        <v>23</v>
      </c>
      <c r="G21" s="11" t="s">
        <v>37</v>
      </c>
      <c r="H21" s="11" t="s">
        <v>106</v>
      </c>
      <c r="I21" s="11" t="s">
        <v>25</v>
      </c>
      <c r="J21" s="11" t="s">
        <v>54</v>
      </c>
      <c r="K21" s="11" t="s">
        <v>80</v>
      </c>
      <c r="L21" s="11" t="s">
        <v>92</v>
      </c>
      <c r="M21" s="11" t="s">
        <v>29</v>
      </c>
      <c r="N21" s="11" t="s">
        <v>78</v>
      </c>
      <c r="O21" s="11" t="s">
        <v>49</v>
      </c>
      <c r="P21" s="11" t="s">
        <v>107</v>
      </c>
      <c r="Q21" s="11" t="s">
        <v>51</v>
      </c>
      <c r="R21" s="11" t="s">
        <v>52</v>
      </c>
      <c r="S21" s="18">
        <f t="shared" si="5"/>
        <v>2</v>
      </c>
      <c r="T21" s="18">
        <f t="shared" si="6"/>
        <v>1</v>
      </c>
      <c r="U21" s="18">
        <f t="shared" si="7"/>
        <v>1</v>
      </c>
      <c r="V21" s="18">
        <f t="shared" si="8"/>
        <v>2</v>
      </c>
      <c r="W21" s="18">
        <f t="shared" si="9"/>
        <v>1</v>
      </c>
      <c r="X21" s="18">
        <f t="shared" si="10"/>
        <v>1</v>
      </c>
      <c r="Y21" s="18">
        <f t="shared" si="11"/>
        <v>1</v>
      </c>
      <c r="Z21" s="18">
        <f t="shared" si="12"/>
        <v>1</v>
      </c>
      <c r="AA21" s="18">
        <f t="shared" si="13"/>
        <v>1</v>
      </c>
      <c r="AB21" s="18">
        <f t="shared" si="14"/>
        <v>1</v>
      </c>
      <c r="AC21" s="18">
        <f t="shared" si="16"/>
        <v>1</v>
      </c>
      <c r="AD21" s="18">
        <f t="shared" si="15"/>
        <v>1</v>
      </c>
    </row>
    <row r="22" spans="1:30" ht="20" customHeight="1">
      <c r="A22" s="9" t="s">
        <v>108</v>
      </c>
      <c r="B22" s="10" t="s">
        <v>20</v>
      </c>
      <c r="C22" s="11" t="s">
        <v>21</v>
      </c>
      <c r="D22" s="11" t="s">
        <v>22</v>
      </c>
      <c r="E22" s="12">
        <v>3</v>
      </c>
      <c r="F22" s="11" t="s">
        <v>23</v>
      </c>
      <c r="G22" s="11" t="s">
        <v>61</v>
      </c>
      <c r="H22" s="13"/>
      <c r="I22" s="11" t="s">
        <v>25</v>
      </c>
      <c r="J22" s="11" t="s">
        <v>26</v>
      </c>
      <c r="K22" s="11" t="s">
        <v>55</v>
      </c>
      <c r="L22" s="11" t="s">
        <v>41</v>
      </c>
      <c r="M22" s="11" t="s">
        <v>29</v>
      </c>
      <c r="N22" s="11" t="s">
        <v>109</v>
      </c>
      <c r="O22" s="11" t="s">
        <v>54</v>
      </c>
      <c r="P22" s="11" t="s">
        <v>57</v>
      </c>
      <c r="Q22" s="11" t="s">
        <v>58</v>
      </c>
      <c r="R22" s="11" t="s">
        <v>45</v>
      </c>
      <c r="S22" s="18">
        <f t="shared" si="5"/>
        <v>2</v>
      </c>
      <c r="T22" s="18">
        <f t="shared" si="6"/>
        <v>1</v>
      </c>
      <c r="U22" s="18">
        <f t="shared" si="7"/>
        <v>1</v>
      </c>
      <c r="V22" s="18">
        <f t="shared" si="8"/>
        <v>3</v>
      </c>
      <c r="W22" s="18">
        <f t="shared" si="9"/>
        <v>1</v>
      </c>
      <c r="X22" s="18">
        <f t="shared" si="10"/>
        <v>3</v>
      </c>
      <c r="Y22" s="18">
        <f t="shared" si="11"/>
        <v>1</v>
      </c>
      <c r="Z22" s="18">
        <f t="shared" si="12"/>
        <v>1</v>
      </c>
      <c r="AA22" s="18">
        <f t="shared" si="13"/>
        <v>1</v>
      </c>
      <c r="AB22" s="18">
        <f t="shared" si="14"/>
        <v>1</v>
      </c>
      <c r="AC22" s="18">
        <f t="shared" si="16"/>
        <v>1</v>
      </c>
      <c r="AD22" s="18">
        <f t="shared" si="15"/>
        <v>1</v>
      </c>
    </row>
    <row r="23" spans="1:30" ht="20" customHeight="1">
      <c r="A23" s="9" t="s">
        <v>110</v>
      </c>
      <c r="B23" s="10" t="s">
        <v>20</v>
      </c>
      <c r="C23" s="11" t="s">
        <v>21</v>
      </c>
      <c r="D23" s="11" t="s">
        <v>22</v>
      </c>
      <c r="E23" s="12">
        <v>3</v>
      </c>
      <c r="F23" s="11" t="s">
        <v>23</v>
      </c>
      <c r="G23" s="11" t="s">
        <v>61</v>
      </c>
      <c r="H23" s="13"/>
      <c r="I23" s="11" t="s">
        <v>25</v>
      </c>
      <c r="J23" s="11" t="s">
        <v>54</v>
      </c>
      <c r="K23" s="11" t="s">
        <v>55</v>
      </c>
      <c r="L23" s="11" t="s">
        <v>73</v>
      </c>
      <c r="M23" s="11" t="s">
        <v>29</v>
      </c>
      <c r="N23" s="11" t="s">
        <v>111</v>
      </c>
      <c r="O23" s="11" t="s">
        <v>26</v>
      </c>
      <c r="P23" s="11" t="s">
        <v>57</v>
      </c>
      <c r="Q23" s="11" t="s">
        <v>51</v>
      </c>
      <c r="R23" s="11" t="s">
        <v>45</v>
      </c>
      <c r="S23" s="18">
        <f t="shared" si="5"/>
        <v>2</v>
      </c>
      <c r="T23" s="18">
        <f t="shared" si="6"/>
        <v>1</v>
      </c>
      <c r="U23" s="18">
        <f t="shared" si="7"/>
        <v>1</v>
      </c>
      <c r="V23" s="18">
        <f t="shared" si="8"/>
        <v>3</v>
      </c>
      <c r="W23" s="18">
        <f t="shared" si="9"/>
        <v>1</v>
      </c>
      <c r="X23" s="18">
        <f t="shared" si="10"/>
        <v>3</v>
      </c>
      <c r="Y23" s="18">
        <f t="shared" si="11"/>
        <v>1</v>
      </c>
      <c r="Z23" s="18">
        <f t="shared" si="12"/>
        <v>1</v>
      </c>
      <c r="AA23" s="18">
        <f t="shared" si="13"/>
        <v>1</v>
      </c>
      <c r="AB23" s="18">
        <f t="shared" si="14"/>
        <v>1</v>
      </c>
      <c r="AC23" s="18">
        <f t="shared" si="16"/>
        <v>1</v>
      </c>
      <c r="AD23" s="18">
        <f t="shared" si="15"/>
        <v>1</v>
      </c>
    </row>
    <row r="24" spans="1:30" ht="20" customHeight="1">
      <c r="A24" s="9" t="s">
        <v>112</v>
      </c>
      <c r="B24" s="10" t="s">
        <v>20</v>
      </c>
      <c r="C24" s="11" t="s">
        <v>21</v>
      </c>
      <c r="D24" s="11" t="s">
        <v>22</v>
      </c>
      <c r="E24" s="12">
        <v>3</v>
      </c>
      <c r="F24" s="11" t="s">
        <v>36</v>
      </c>
      <c r="G24" s="11" t="s">
        <v>37</v>
      </c>
      <c r="H24" s="11" t="s">
        <v>38</v>
      </c>
      <c r="I24" s="11" t="s">
        <v>48</v>
      </c>
      <c r="J24" s="11" t="s">
        <v>54</v>
      </c>
      <c r="K24" s="11" t="s">
        <v>55</v>
      </c>
      <c r="L24" s="11" t="s">
        <v>73</v>
      </c>
      <c r="M24" s="11" t="s">
        <v>67</v>
      </c>
      <c r="N24" s="11" t="s">
        <v>113</v>
      </c>
      <c r="O24" s="11" t="s">
        <v>54</v>
      </c>
      <c r="P24" s="11" t="s">
        <v>57</v>
      </c>
      <c r="Q24" s="11" t="s">
        <v>78</v>
      </c>
      <c r="R24" s="11" t="s">
        <v>52</v>
      </c>
      <c r="S24" s="18">
        <f t="shared" si="5"/>
        <v>2</v>
      </c>
      <c r="T24" s="18">
        <f t="shared" si="6"/>
        <v>1</v>
      </c>
      <c r="U24" s="18">
        <f t="shared" si="7"/>
        <v>1</v>
      </c>
      <c r="V24" s="18">
        <f t="shared" si="8"/>
        <v>3</v>
      </c>
      <c r="W24" s="18">
        <f t="shared" si="9"/>
        <v>1</v>
      </c>
      <c r="X24" s="18">
        <f t="shared" si="10"/>
        <v>1</v>
      </c>
      <c r="Y24" s="18">
        <f t="shared" si="11"/>
        <v>1</v>
      </c>
      <c r="Z24" s="18">
        <f t="shared" si="12"/>
        <v>1</v>
      </c>
      <c r="AA24" s="18">
        <f t="shared" si="13"/>
        <v>1</v>
      </c>
      <c r="AB24" s="18">
        <f t="shared" si="14"/>
        <v>1</v>
      </c>
      <c r="AC24" s="18">
        <f t="shared" si="16"/>
        <v>1</v>
      </c>
      <c r="AD24" s="18">
        <f t="shared" si="15"/>
        <v>1</v>
      </c>
    </row>
    <row r="25" spans="1:30" ht="20" customHeight="1">
      <c r="A25" s="9" t="s">
        <v>114</v>
      </c>
      <c r="B25" s="10" t="s">
        <v>20</v>
      </c>
      <c r="C25" s="11" t="s">
        <v>21</v>
      </c>
      <c r="D25" s="11" t="s">
        <v>22</v>
      </c>
      <c r="E25" s="12">
        <v>2</v>
      </c>
      <c r="F25" s="11" t="s">
        <v>36</v>
      </c>
      <c r="G25" s="11" t="s">
        <v>37</v>
      </c>
      <c r="H25" s="11" t="s">
        <v>115</v>
      </c>
      <c r="I25" s="11" t="s">
        <v>25</v>
      </c>
      <c r="J25" s="11" t="s">
        <v>49</v>
      </c>
      <c r="K25" s="11" t="s">
        <v>55</v>
      </c>
      <c r="L25" s="11" t="s">
        <v>56</v>
      </c>
      <c r="M25" s="11" t="s">
        <v>29</v>
      </c>
      <c r="N25" s="11" t="s">
        <v>116</v>
      </c>
      <c r="O25" s="11" t="s">
        <v>54</v>
      </c>
      <c r="P25" s="11" t="s">
        <v>57</v>
      </c>
      <c r="Q25" s="11" t="s">
        <v>44</v>
      </c>
      <c r="R25" s="11" t="s">
        <v>52</v>
      </c>
      <c r="S25" s="18">
        <f t="shared" si="5"/>
        <v>2</v>
      </c>
      <c r="T25" s="18">
        <f t="shared" si="6"/>
        <v>1</v>
      </c>
      <c r="U25" s="18">
        <f t="shared" si="7"/>
        <v>1</v>
      </c>
      <c r="V25" s="18">
        <f t="shared" si="8"/>
        <v>2</v>
      </c>
      <c r="W25" s="18">
        <f t="shared" si="9"/>
        <v>1</v>
      </c>
      <c r="X25" s="18">
        <f t="shared" si="10"/>
        <v>1</v>
      </c>
      <c r="Y25" s="18">
        <f t="shared" si="11"/>
        <v>1</v>
      </c>
      <c r="Z25" s="18">
        <f t="shared" si="12"/>
        <v>1</v>
      </c>
      <c r="AA25" s="18">
        <f t="shared" si="13"/>
        <v>1</v>
      </c>
      <c r="AB25" s="18">
        <f t="shared" si="14"/>
        <v>1</v>
      </c>
      <c r="AC25" s="18">
        <f t="shared" si="16"/>
        <v>1</v>
      </c>
      <c r="AD25" s="18">
        <f t="shared" si="15"/>
        <v>1</v>
      </c>
    </row>
    <row r="26" spans="1:30" ht="20" customHeight="1">
      <c r="A26" s="9" t="s">
        <v>117</v>
      </c>
      <c r="B26" s="10" t="s">
        <v>20</v>
      </c>
      <c r="C26" s="11" t="s">
        <v>21</v>
      </c>
      <c r="D26" s="11" t="s">
        <v>22</v>
      </c>
      <c r="E26" s="12">
        <v>3</v>
      </c>
      <c r="F26" s="11" t="s">
        <v>23</v>
      </c>
      <c r="G26" s="11" t="s">
        <v>61</v>
      </c>
      <c r="H26" s="11" t="s">
        <v>76</v>
      </c>
      <c r="I26" s="11" t="s">
        <v>39</v>
      </c>
      <c r="J26" s="11" t="s">
        <v>54</v>
      </c>
      <c r="K26" s="11" t="s">
        <v>40</v>
      </c>
      <c r="L26" s="11" t="s">
        <v>73</v>
      </c>
      <c r="M26" s="11" t="s">
        <v>67</v>
      </c>
      <c r="N26" s="11" t="s">
        <v>118</v>
      </c>
      <c r="O26" s="11" t="s">
        <v>31</v>
      </c>
      <c r="P26" s="11" t="s">
        <v>43</v>
      </c>
      <c r="Q26" s="11" t="s">
        <v>58</v>
      </c>
      <c r="R26" s="11" t="s">
        <v>45</v>
      </c>
      <c r="S26" s="18">
        <f t="shared" si="5"/>
        <v>2</v>
      </c>
      <c r="T26" s="18">
        <f t="shared" si="6"/>
        <v>1</v>
      </c>
      <c r="U26" s="18">
        <f t="shared" si="7"/>
        <v>1</v>
      </c>
      <c r="V26" s="18">
        <f t="shared" si="8"/>
        <v>3</v>
      </c>
      <c r="W26" s="18">
        <f t="shared" si="9"/>
        <v>1</v>
      </c>
      <c r="X26" s="18">
        <f t="shared" si="10"/>
        <v>3</v>
      </c>
      <c r="Y26" s="18">
        <f t="shared" si="11"/>
        <v>1</v>
      </c>
      <c r="Z26" s="18">
        <f t="shared" si="12"/>
        <v>1</v>
      </c>
      <c r="AA26" s="18">
        <f t="shared" si="13"/>
        <v>1</v>
      </c>
      <c r="AB26" s="18">
        <f t="shared" si="14"/>
        <v>1</v>
      </c>
      <c r="AC26" s="18">
        <f t="shared" si="16"/>
        <v>1</v>
      </c>
      <c r="AD26" s="18">
        <f t="shared" si="15"/>
        <v>1</v>
      </c>
    </row>
    <row r="27" spans="1:30" ht="20" customHeight="1">
      <c r="A27" s="9" t="s">
        <v>119</v>
      </c>
      <c r="B27" s="10" t="s">
        <v>20</v>
      </c>
      <c r="C27" s="11" t="s">
        <v>21</v>
      </c>
      <c r="D27" s="11" t="s">
        <v>22</v>
      </c>
      <c r="E27" s="12">
        <v>3</v>
      </c>
      <c r="F27" s="11" t="s">
        <v>23</v>
      </c>
      <c r="G27" s="11" t="s">
        <v>61</v>
      </c>
      <c r="H27" s="13"/>
      <c r="I27" s="11" t="s">
        <v>25</v>
      </c>
      <c r="J27" s="11" t="s">
        <v>54</v>
      </c>
      <c r="K27" s="11" t="s">
        <v>27</v>
      </c>
      <c r="L27" s="11" t="s">
        <v>73</v>
      </c>
      <c r="M27" s="11" t="s">
        <v>67</v>
      </c>
      <c r="N27" s="11" t="s">
        <v>118</v>
      </c>
      <c r="O27" s="11" t="s">
        <v>31</v>
      </c>
      <c r="P27" s="11" t="s">
        <v>32</v>
      </c>
      <c r="Q27" s="11" t="s">
        <v>33</v>
      </c>
      <c r="R27" s="11" t="s">
        <v>34</v>
      </c>
      <c r="S27" s="18">
        <f t="shared" si="5"/>
        <v>2</v>
      </c>
      <c r="T27" s="18">
        <f t="shared" si="6"/>
        <v>1</v>
      </c>
      <c r="U27" s="18">
        <f t="shared" si="7"/>
        <v>1</v>
      </c>
      <c r="V27" s="18">
        <f t="shared" si="8"/>
        <v>3</v>
      </c>
      <c r="W27" s="18">
        <f t="shared" si="9"/>
        <v>1</v>
      </c>
      <c r="X27" s="18">
        <f t="shared" si="10"/>
        <v>3</v>
      </c>
      <c r="Y27" s="18">
        <f t="shared" si="11"/>
        <v>1</v>
      </c>
      <c r="Z27" s="18">
        <f t="shared" si="12"/>
        <v>1</v>
      </c>
      <c r="AA27" s="18">
        <f t="shared" si="13"/>
        <v>1</v>
      </c>
      <c r="AB27" s="18">
        <f t="shared" si="14"/>
        <v>1</v>
      </c>
      <c r="AC27" s="18">
        <f t="shared" si="16"/>
        <v>1</v>
      </c>
      <c r="AD27" s="18">
        <f t="shared" si="15"/>
        <v>1</v>
      </c>
    </row>
    <row r="28" spans="1:30" ht="20" customHeight="1">
      <c r="A28" s="9" t="s">
        <v>120</v>
      </c>
      <c r="B28" s="10" t="s">
        <v>47</v>
      </c>
      <c r="C28" s="11" t="s">
        <v>21</v>
      </c>
      <c r="D28" s="11" t="s">
        <v>22</v>
      </c>
      <c r="E28" s="11" t="s">
        <v>70</v>
      </c>
      <c r="F28" s="11" t="s">
        <v>36</v>
      </c>
      <c r="G28" s="11" t="s">
        <v>61</v>
      </c>
      <c r="H28" s="11" t="s">
        <v>38</v>
      </c>
      <c r="I28" s="11" t="s">
        <v>48</v>
      </c>
      <c r="J28" s="11" t="s">
        <v>26</v>
      </c>
      <c r="K28" s="11" t="s">
        <v>55</v>
      </c>
      <c r="L28" s="11" t="s">
        <v>73</v>
      </c>
      <c r="M28" s="11" t="s">
        <v>67</v>
      </c>
      <c r="N28" s="11" t="s">
        <v>30</v>
      </c>
      <c r="O28" s="11" t="s">
        <v>54</v>
      </c>
      <c r="P28" s="11" t="s">
        <v>43</v>
      </c>
      <c r="Q28" s="11" t="s">
        <v>33</v>
      </c>
      <c r="R28" s="11" t="s">
        <v>52</v>
      </c>
      <c r="S28" s="18">
        <f t="shared" si="5"/>
        <v>1</v>
      </c>
      <c r="T28" s="18">
        <f t="shared" si="6"/>
        <v>1</v>
      </c>
      <c r="U28" s="18">
        <f t="shared" si="7"/>
        <v>1</v>
      </c>
      <c r="V28" s="18">
        <f t="shared" si="8"/>
        <v>1</v>
      </c>
      <c r="W28" s="18">
        <f t="shared" si="9"/>
        <v>1</v>
      </c>
      <c r="X28" s="18">
        <f t="shared" si="10"/>
        <v>3</v>
      </c>
      <c r="Y28" s="18">
        <f t="shared" si="11"/>
        <v>1</v>
      </c>
      <c r="Z28" s="18">
        <f t="shared" si="12"/>
        <v>1</v>
      </c>
      <c r="AA28" s="18">
        <f t="shared" si="13"/>
        <v>1</v>
      </c>
      <c r="AB28" s="18">
        <f t="shared" si="14"/>
        <v>1</v>
      </c>
      <c r="AC28" s="18">
        <f t="shared" si="16"/>
        <v>1</v>
      </c>
      <c r="AD28" s="18">
        <f t="shared" si="15"/>
        <v>1</v>
      </c>
    </row>
    <row r="29" spans="1:30" ht="20" customHeight="1">
      <c r="A29" s="9" t="s">
        <v>121</v>
      </c>
      <c r="B29" s="10" t="s">
        <v>20</v>
      </c>
      <c r="C29" s="11" t="s">
        <v>21</v>
      </c>
      <c r="D29" s="11" t="s">
        <v>122</v>
      </c>
      <c r="E29" s="12">
        <v>3</v>
      </c>
      <c r="F29" s="11" t="s">
        <v>36</v>
      </c>
      <c r="G29" s="11" t="s">
        <v>37</v>
      </c>
      <c r="H29" s="11" t="s">
        <v>38</v>
      </c>
      <c r="I29" s="11" t="s">
        <v>25</v>
      </c>
      <c r="J29" s="11" t="s">
        <v>26</v>
      </c>
      <c r="K29" s="11" t="s">
        <v>55</v>
      </c>
      <c r="L29" s="11" t="s">
        <v>73</v>
      </c>
      <c r="M29" s="11" t="s">
        <v>67</v>
      </c>
      <c r="N29" s="11" t="s">
        <v>123</v>
      </c>
      <c r="O29" s="11" t="s">
        <v>49</v>
      </c>
      <c r="P29" s="11" t="s">
        <v>57</v>
      </c>
      <c r="Q29" s="11" t="s">
        <v>44</v>
      </c>
      <c r="R29" s="11" t="s">
        <v>52</v>
      </c>
      <c r="S29" s="18">
        <f t="shared" si="5"/>
        <v>2</v>
      </c>
      <c r="T29" s="18">
        <f t="shared" si="6"/>
        <v>1</v>
      </c>
      <c r="U29" s="18">
        <f t="shared" si="7"/>
        <v>1</v>
      </c>
      <c r="V29" s="18">
        <f t="shared" si="8"/>
        <v>3</v>
      </c>
      <c r="W29" s="18">
        <f t="shared" si="9"/>
        <v>1</v>
      </c>
      <c r="X29" s="18">
        <f t="shared" si="10"/>
        <v>1</v>
      </c>
      <c r="Y29" s="18">
        <f t="shared" si="11"/>
        <v>1</v>
      </c>
      <c r="Z29" s="18">
        <f t="shared" si="12"/>
        <v>1</v>
      </c>
      <c r="AA29" s="18">
        <f t="shared" si="13"/>
        <v>1</v>
      </c>
      <c r="AB29" s="18">
        <f t="shared" si="14"/>
        <v>1</v>
      </c>
      <c r="AC29" s="18">
        <f t="shared" si="16"/>
        <v>1</v>
      </c>
      <c r="AD29" s="18">
        <f t="shared" si="15"/>
        <v>1</v>
      </c>
    </row>
    <row r="30" spans="1:30" ht="20" customHeight="1">
      <c r="A30" s="9" t="s">
        <v>124</v>
      </c>
      <c r="B30" s="10" t="s">
        <v>20</v>
      </c>
      <c r="C30" s="11" t="s">
        <v>21</v>
      </c>
      <c r="D30" s="11" t="s">
        <v>122</v>
      </c>
      <c r="E30" s="11" t="s">
        <v>70</v>
      </c>
      <c r="F30" s="11" t="s">
        <v>23</v>
      </c>
      <c r="G30" s="11" t="s">
        <v>37</v>
      </c>
      <c r="H30" s="13"/>
      <c r="I30" s="11" t="s">
        <v>25</v>
      </c>
      <c r="J30" s="11" t="s">
        <v>49</v>
      </c>
      <c r="K30" s="11" t="s">
        <v>55</v>
      </c>
      <c r="L30" s="11" t="s">
        <v>73</v>
      </c>
      <c r="M30" s="11" t="s">
        <v>67</v>
      </c>
      <c r="N30" s="11" t="s">
        <v>68</v>
      </c>
      <c r="O30" s="11" t="s">
        <v>54</v>
      </c>
      <c r="P30" s="11" t="s">
        <v>57</v>
      </c>
      <c r="Q30" s="11" t="s">
        <v>33</v>
      </c>
      <c r="R30" s="11" t="s">
        <v>45</v>
      </c>
      <c r="S30" s="18">
        <f t="shared" si="5"/>
        <v>2</v>
      </c>
      <c r="T30" s="18">
        <f t="shared" si="6"/>
        <v>1</v>
      </c>
      <c r="U30" s="18">
        <f t="shared" si="7"/>
        <v>1</v>
      </c>
      <c r="V30" s="18">
        <f t="shared" si="8"/>
        <v>1</v>
      </c>
      <c r="W30" s="18">
        <f t="shared" si="9"/>
        <v>1</v>
      </c>
      <c r="X30" s="18">
        <f t="shared" si="10"/>
        <v>1</v>
      </c>
      <c r="Y30" s="18">
        <f t="shared" si="11"/>
        <v>1</v>
      </c>
      <c r="Z30" s="18">
        <f t="shared" si="12"/>
        <v>1</v>
      </c>
      <c r="AA30" s="18">
        <f t="shared" si="13"/>
        <v>1</v>
      </c>
      <c r="AB30" s="18">
        <f t="shared" si="14"/>
        <v>1</v>
      </c>
      <c r="AC30" s="18">
        <f t="shared" si="16"/>
        <v>1</v>
      </c>
      <c r="AD30" s="18">
        <f t="shared" si="15"/>
        <v>1</v>
      </c>
    </row>
    <row r="31" spans="1:30" ht="20" customHeight="1">
      <c r="A31" s="9" t="s">
        <v>125</v>
      </c>
      <c r="B31" s="10" t="s">
        <v>20</v>
      </c>
      <c r="C31" s="11" t="s">
        <v>21</v>
      </c>
      <c r="D31" s="11" t="s">
        <v>122</v>
      </c>
      <c r="E31" s="12">
        <v>3</v>
      </c>
      <c r="F31" s="11" t="s">
        <v>23</v>
      </c>
      <c r="G31" s="11" t="s">
        <v>61</v>
      </c>
      <c r="H31" s="11" t="s">
        <v>126</v>
      </c>
      <c r="I31" s="11" t="s">
        <v>39</v>
      </c>
      <c r="J31" s="11" t="s">
        <v>26</v>
      </c>
      <c r="K31" s="11" t="s">
        <v>27</v>
      </c>
      <c r="L31" s="11" t="s">
        <v>66</v>
      </c>
      <c r="M31" s="11" t="s">
        <v>67</v>
      </c>
      <c r="N31" s="11" t="s">
        <v>111</v>
      </c>
      <c r="O31" s="11" t="s">
        <v>54</v>
      </c>
      <c r="P31" s="11" t="s">
        <v>32</v>
      </c>
      <c r="Q31" s="11" t="s">
        <v>127</v>
      </c>
      <c r="R31" s="11" t="s">
        <v>45</v>
      </c>
      <c r="S31" s="18">
        <f t="shared" si="5"/>
        <v>2</v>
      </c>
      <c r="T31" s="18">
        <f t="shared" si="6"/>
        <v>1</v>
      </c>
      <c r="U31" s="18">
        <f t="shared" si="7"/>
        <v>1</v>
      </c>
      <c r="V31" s="18">
        <f t="shared" si="8"/>
        <v>3</v>
      </c>
      <c r="W31" s="18">
        <f t="shared" si="9"/>
        <v>1</v>
      </c>
      <c r="X31" s="18">
        <f t="shared" si="10"/>
        <v>3</v>
      </c>
      <c r="Y31" s="18">
        <f t="shared" si="11"/>
        <v>1</v>
      </c>
      <c r="Z31" s="18">
        <f t="shared" si="12"/>
        <v>1</v>
      </c>
      <c r="AA31" s="18">
        <f t="shared" si="13"/>
        <v>1</v>
      </c>
      <c r="AB31" s="18">
        <f t="shared" si="14"/>
        <v>1</v>
      </c>
      <c r="AC31" s="18">
        <f t="shared" si="16"/>
        <v>1</v>
      </c>
      <c r="AD31" s="18">
        <f t="shared" si="15"/>
        <v>1</v>
      </c>
    </row>
    <row r="32" spans="1:30" ht="20" customHeight="1">
      <c r="A32" s="9" t="s">
        <v>128</v>
      </c>
      <c r="B32" s="10" t="s">
        <v>20</v>
      </c>
      <c r="C32" s="11" t="s">
        <v>21</v>
      </c>
      <c r="D32" s="11" t="s">
        <v>122</v>
      </c>
      <c r="E32" s="12">
        <v>2</v>
      </c>
      <c r="F32" s="11" t="s">
        <v>23</v>
      </c>
      <c r="G32" s="11" t="s">
        <v>61</v>
      </c>
      <c r="H32" s="11" t="s">
        <v>38</v>
      </c>
      <c r="I32" s="11" t="s">
        <v>25</v>
      </c>
      <c r="J32" s="11" t="s">
        <v>49</v>
      </c>
      <c r="K32" s="11" t="s">
        <v>62</v>
      </c>
      <c r="L32" s="11" t="s">
        <v>73</v>
      </c>
      <c r="M32" s="11" t="s">
        <v>67</v>
      </c>
      <c r="N32" s="11" t="s">
        <v>129</v>
      </c>
      <c r="O32" s="11" t="s">
        <v>49</v>
      </c>
      <c r="P32" s="11" t="s">
        <v>43</v>
      </c>
      <c r="Q32" s="11" t="s">
        <v>44</v>
      </c>
      <c r="R32" s="11" t="s">
        <v>34</v>
      </c>
      <c r="S32" s="18">
        <f t="shared" si="5"/>
        <v>2</v>
      </c>
      <c r="T32" s="18">
        <f t="shared" si="6"/>
        <v>1</v>
      </c>
      <c r="U32" s="18">
        <f t="shared" si="7"/>
        <v>1</v>
      </c>
      <c r="V32" s="18">
        <f t="shared" si="8"/>
        <v>2</v>
      </c>
      <c r="W32" s="18">
        <f t="shared" si="9"/>
        <v>1</v>
      </c>
      <c r="X32" s="18">
        <f t="shared" si="10"/>
        <v>3</v>
      </c>
      <c r="Y32" s="18">
        <f t="shared" si="11"/>
        <v>1</v>
      </c>
      <c r="Z32" s="18">
        <f t="shared" si="12"/>
        <v>1</v>
      </c>
      <c r="AA32" s="18">
        <f t="shared" si="13"/>
        <v>1</v>
      </c>
      <c r="AB32" s="18">
        <f t="shared" si="14"/>
        <v>1</v>
      </c>
      <c r="AC32" s="18">
        <f t="shared" si="16"/>
        <v>1</v>
      </c>
      <c r="AD32" s="18">
        <f t="shared" si="15"/>
        <v>1</v>
      </c>
    </row>
    <row r="33" spans="1:30" ht="20" customHeight="1">
      <c r="A33" s="9" t="s">
        <v>130</v>
      </c>
      <c r="B33" s="10" t="s">
        <v>20</v>
      </c>
      <c r="C33" s="11" t="s">
        <v>21</v>
      </c>
      <c r="D33" s="11" t="s">
        <v>122</v>
      </c>
      <c r="E33" s="11" t="s">
        <v>70</v>
      </c>
      <c r="F33" s="11" t="s">
        <v>23</v>
      </c>
      <c r="G33" s="11" t="s">
        <v>37</v>
      </c>
      <c r="H33" s="11" t="s">
        <v>72</v>
      </c>
      <c r="I33" s="11" t="s">
        <v>25</v>
      </c>
      <c r="J33" s="11" t="s">
        <v>49</v>
      </c>
      <c r="K33" s="11" t="s">
        <v>40</v>
      </c>
      <c r="L33" s="11" t="s">
        <v>73</v>
      </c>
      <c r="M33" s="11" t="s">
        <v>67</v>
      </c>
      <c r="N33" s="11" t="s">
        <v>74</v>
      </c>
      <c r="O33" s="11" t="s">
        <v>49</v>
      </c>
      <c r="P33" s="11" t="s">
        <v>57</v>
      </c>
      <c r="Q33" s="11" t="s">
        <v>44</v>
      </c>
      <c r="R33" s="11" t="s">
        <v>52</v>
      </c>
      <c r="S33" s="18">
        <f t="shared" si="5"/>
        <v>2</v>
      </c>
      <c r="T33" s="18">
        <f t="shared" si="6"/>
        <v>1</v>
      </c>
      <c r="U33" s="18">
        <f t="shared" si="7"/>
        <v>1</v>
      </c>
      <c r="V33" s="18">
        <f t="shared" si="8"/>
        <v>1</v>
      </c>
      <c r="W33" s="18">
        <f t="shared" si="9"/>
        <v>1</v>
      </c>
      <c r="X33" s="18">
        <f t="shared" si="10"/>
        <v>1</v>
      </c>
      <c r="Y33" s="18">
        <f t="shared" si="11"/>
        <v>1</v>
      </c>
      <c r="Z33" s="18">
        <f t="shared" si="12"/>
        <v>1</v>
      </c>
      <c r="AA33" s="18">
        <f t="shared" si="13"/>
        <v>1</v>
      </c>
      <c r="AB33" s="18">
        <f t="shared" si="14"/>
        <v>1</v>
      </c>
      <c r="AC33" s="18">
        <f t="shared" si="16"/>
        <v>1</v>
      </c>
      <c r="AD33" s="18">
        <f t="shared" si="15"/>
        <v>1</v>
      </c>
    </row>
    <row r="34" spans="1:30" ht="20" customHeight="1">
      <c r="A34" s="9" t="s">
        <v>131</v>
      </c>
      <c r="B34" s="10" t="s">
        <v>20</v>
      </c>
      <c r="C34" s="11" t="s">
        <v>21</v>
      </c>
      <c r="D34" s="11" t="s">
        <v>122</v>
      </c>
      <c r="E34" s="12">
        <v>2</v>
      </c>
      <c r="F34" s="11" t="s">
        <v>23</v>
      </c>
      <c r="G34" s="11" t="s">
        <v>61</v>
      </c>
      <c r="H34" s="13"/>
      <c r="I34" s="11" t="s">
        <v>25</v>
      </c>
      <c r="J34" s="11" t="s">
        <v>26</v>
      </c>
      <c r="K34" s="11" t="s">
        <v>40</v>
      </c>
      <c r="L34" s="11" t="s">
        <v>41</v>
      </c>
      <c r="M34" s="11" t="s">
        <v>29</v>
      </c>
      <c r="N34" s="11" t="s">
        <v>132</v>
      </c>
      <c r="O34" s="11" t="s">
        <v>54</v>
      </c>
      <c r="P34" s="11" t="s">
        <v>57</v>
      </c>
      <c r="Q34" s="11" t="s">
        <v>33</v>
      </c>
      <c r="R34" s="11" t="s">
        <v>59</v>
      </c>
      <c r="S34" s="18">
        <f t="shared" si="5"/>
        <v>2</v>
      </c>
      <c r="T34" s="18">
        <f t="shared" si="6"/>
        <v>1</v>
      </c>
      <c r="U34" s="18">
        <f t="shared" si="7"/>
        <v>1</v>
      </c>
      <c r="V34" s="18">
        <f t="shared" si="8"/>
        <v>2</v>
      </c>
      <c r="W34" s="18">
        <f t="shared" si="9"/>
        <v>1</v>
      </c>
      <c r="X34" s="18">
        <f t="shared" si="10"/>
        <v>3</v>
      </c>
      <c r="Y34" s="18">
        <f t="shared" si="11"/>
        <v>1</v>
      </c>
      <c r="Z34" s="18">
        <f t="shared" si="12"/>
        <v>1</v>
      </c>
      <c r="AA34" s="18">
        <f t="shared" si="13"/>
        <v>1</v>
      </c>
      <c r="AB34" s="18">
        <f t="shared" si="14"/>
        <v>1</v>
      </c>
      <c r="AC34" s="18">
        <f t="shared" si="16"/>
        <v>1</v>
      </c>
      <c r="AD34" s="18">
        <f t="shared" si="15"/>
        <v>1</v>
      </c>
    </row>
    <row r="35" spans="1:30" ht="20" customHeight="1">
      <c r="A35" s="9" t="s">
        <v>133</v>
      </c>
      <c r="B35" s="10" t="s">
        <v>20</v>
      </c>
      <c r="C35" s="11" t="s">
        <v>21</v>
      </c>
      <c r="D35" s="11" t="s">
        <v>122</v>
      </c>
      <c r="E35" s="12">
        <v>2</v>
      </c>
      <c r="F35" s="11" t="s">
        <v>36</v>
      </c>
      <c r="G35" s="11" t="s">
        <v>37</v>
      </c>
      <c r="H35" s="11" t="s">
        <v>72</v>
      </c>
      <c r="I35" s="11" t="s">
        <v>25</v>
      </c>
      <c r="J35" s="11" t="s">
        <v>49</v>
      </c>
      <c r="K35" s="11" t="s">
        <v>55</v>
      </c>
      <c r="L35" s="11" t="s">
        <v>73</v>
      </c>
      <c r="M35" s="11" t="s">
        <v>67</v>
      </c>
      <c r="N35" s="11" t="s">
        <v>134</v>
      </c>
      <c r="O35" s="11" t="s">
        <v>49</v>
      </c>
      <c r="P35" s="11" t="s">
        <v>57</v>
      </c>
      <c r="Q35" s="11" t="s">
        <v>78</v>
      </c>
      <c r="R35" s="11" t="s">
        <v>64</v>
      </c>
      <c r="S35" s="18">
        <f t="shared" si="5"/>
        <v>2</v>
      </c>
      <c r="T35" s="18">
        <f t="shared" si="6"/>
        <v>1</v>
      </c>
      <c r="U35" s="18">
        <f t="shared" si="7"/>
        <v>1</v>
      </c>
      <c r="V35" s="18">
        <f t="shared" si="8"/>
        <v>2</v>
      </c>
      <c r="W35" s="18">
        <f t="shared" si="9"/>
        <v>1</v>
      </c>
      <c r="X35" s="18">
        <f t="shared" si="10"/>
        <v>1</v>
      </c>
      <c r="Y35" s="18">
        <f t="shared" si="11"/>
        <v>1</v>
      </c>
      <c r="Z35" s="18">
        <f t="shared" si="12"/>
        <v>1</v>
      </c>
      <c r="AA35" s="18">
        <f t="shared" si="13"/>
        <v>1</v>
      </c>
      <c r="AB35" s="18">
        <f t="shared" si="14"/>
        <v>1</v>
      </c>
      <c r="AC35" s="18">
        <f t="shared" si="16"/>
        <v>1</v>
      </c>
      <c r="AD35" s="18">
        <f t="shared" si="15"/>
        <v>1</v>
      </c>
    </row>
    <row r="36" spans="1:30" ht="20" customHeight="1">
      <c r="A36" s="9" t="s">
        <v>135</v>
      </c>
      <c r="B36" s="10" t="s">
        <v>20</v>
      </c>
      <c r="C36" s="11" t="s">
        <v>21</v>
      </c>
      <c r="D36" s="11" t="s">
        <v>122</v>
      </c>
      <c r="E36" s="12">
        <v>3</v>
      </c>
      <c r="F36" s="11" t="s">
        <v>23</v>
      </c>
      <c r="G36" s="11" t="s">
        <v>61</v>
      </c>
      <c r="H36" s="13"/>
      <c r="I36" s="11" t="s">
        <v>25</v>
      </c>
      <c r="J36" s="11" t="s">
        <v>54</v>
      </c>
      <c r="K36" s="11" t="s">
        <v>62</v>
      </c>
      <c r="L36" s="11" t="s">
        <v>41</v>
      </c>
      <c r="M36" s="11" t="s">
        <v>29</v>
      </c>
      <c r="N36" s="11" t="s">
        <v>78</v>
      </c>
      <c r="O36" s="11" t="s">
        <v>54</v>
      </c>
      <c r="P36" s="11" t="s">
        <v>57</v>
      </c>
      <c r="Q36" s="11" t="s">
        <v>33</v>
      </c>
      <c r="R36" s="11" t="s">
        <v>64</v>
      </c>
      <c r="S36" s="18">
        <f t="shared" si="5"/>
        <v>2</v>
      </c>
      <c r="T36" s="18">
        <f t="shared" si="6"/>
        <v>1</v>
      </c>
      <c r="U36" s="18">
        <f t="shared" si="7"/>
        <v>1</v>
      </c>
      <c r="V36" s="18">
        <f t="shared" si="8"/>
        <v>3</v>
      </c>
      <c r="W36" s="18">
        <f t="shared" si="9"/>
        <v>1</v>
      </c>
      <c r="X36" s="18">
        <f t="shared" si="10"/>
        <v>3</v>
      </c>
      <c r="Y36" s="18">
        <f t="shared" si="11"/>
        <v>1</v>
      </c>
      <c r="Z36" s="18">
        <f t="shared" si="12"/>
        <v>1</v>
      </c>
      <c r="AA36" s="18">
        <f t="shared" si="13"/>
        <v>1</v>
      </c>
      <c r="AB36" s="18">
        <f t="shared" si="14"/>
        <v>1</v>
      </c>
      <c r="AC36" s="18">
        <f t="shared" si="16"/>
        <v>1</v>
      </c>
      <c r="AD36" s="18">
        <f t="shared" si="15"/>
        <v>1</v>
      </c>
    </row>
    <row r="37" spans="1:30" ht="20" customHeight="1">
      <c r="A37" s="9" t="s">
        <v>136</v>
      </c>
      <c r="B37" s="10" t="s">
        <v>20</v>
      </c>
      <c r="C37" s="11" t="s">
        <v>21</v>
      </c>
      <c r="D37" s="11" t="s">
        <v>137</v>
      </c>
      <c r="E37" s="12">
        <v>4</v>
      </c>
      <c r="F37" s="11" t="s">
        <v>23</v>
      </c>
      <c r="G37" s="11" t="s">
        <v>61</v>
      </c>
      <c r="H37" s="11" t="s">
        <v>126</v>
      </c>
      <c r="I37" s="11" t="s">
        <v>25</v>
      </c>
      <c r="J37" s="11" t="s">
        <v>26</v>
      </c>
      <c r="K37" s="11" t="s">
        <v>55</v>
      </c>
      <c r="L37" s="11" t="s">
        <v>73</v>
      </c>
      <c r="M37" s="11" t="s">
        <v>67</v>
      </c>
      <c r="N37" s="11" t="s">
        <v>118</v>
      </c>
      <c r="O37" s="11" t="s">
        <v>49</v>
      </c>
      <c r="P37" s="11" t="s">
        <v>57</v>
      </c>
      <c r="Q37" s="11" t="s">
        <v>44</v>
      </c>
      <c r="R37" s="11" t="s">
        <v>52</v>
      </c>
      <c r="S37" s="18">
        <f t="shared" si="5"/>
        <v>2</v>
      </c>
      <c r="T37" s="18">
        <f t="shared" si="6"/>
        <v>1</v>
      </c>
      <c r="U37" s="18">
        <f t="shared" si="7"/>
        <v>1</v>
      </c>
      <c r="V37" s="18">
        <f t="shared" si="8"/>
        <v>4</v>
      </c>
      <c r="W37" s="18">
        <f t="shared" si="9"/>
        <v>1</v>
      </c>
      <c r="X37" s="18">
        <f t="shared" si="10"/>
        <v>3</v>
      </c>
      <c r="Y37" s="18">
        <f t="shared" si="11"/>
        <v>1</v>
      </c>
      <c r="Z37" s="18">
        <f t="shared" si="12"/>
        <v>1</v>
      </c>
      <c r="AA37" s="18">
        <f t="shared" si="13"/>
        <v>1</v>
      </c>
      <c r="AB37" s="18">
        <f t="shared" si="14"/>
        <v>1</v>
      </c>
      <c r="AC37" s="18">
        <f t="shared" si="16"/>
        <v>1</v>
      </c>
      <c r="AD37" s="18">
        <f t="shared" si="15"/>
        <v>1</v>
      </c>
    </row>
    <row r="38" spans="1:30" ht="20" customHeight="1">
      <c r="A38" s="9" t="s">
        <v>138</v>
      </c>
      <c r="B38" s="10" t="s">
        <v>20</v>
      </c>
      <c r="C38" s="11" t="s">
        <v>21</v>
      </c>
      <c r="D38" s="11" t="s">
        <v>137</v>
      </c>
      <c r="E38" s="12">
        <v>4</v>
      </c>
      <c r="F38" s="11" t="s">
        <v>23</v>
      </c>
      <c r="G38" s="11" t="s">
        <v>61</v>
      </c>
      <c r="H38" s="11" t="s">
        <v>139</v>
      </c>
      <c r="I38" s="11" t="s">
        <v>25</v>
      </c>
      <c r="J38" s="11" t="s">
        <v>49</v>
      </c>
      <c r="K38" s="11" t="s">
        <v>62</v>
      </c>
      <c r="L38" s="11" t="s">
        <v>41</v>
      </c>
      <c r="M38" s="11" t="s">
        <v>67</v>
      </c>
      <c r="N38" s="11" t="s">
        <v>118</v>
      </c>
      <c r="O38" s="11" t="s">
        <v>49</v>
      </c>
      <c r="P38" s="11" t="s">
        <v>57</v>
      </c>
      <c r="Q38" s="11" t="s">
        <v>44</v>
      </c>
      <c r="R38" s="11" t="s">
        <v>52</v>
      </c>
      <c r="S38" s="18">
        <f t="shared" si="5"/>
        <v>2</v>
      </c>
      <c r="T38" s="18">
        <f t="shared" si="6"/>
        <v>1</v>
      </c>
      <c r="U38" s="18">
        <f t="shared" si="7"/>
        <v>1</v>
      </c>
      <c r="V38" s="18">
        <f t="shared" si="8"/>
        <v>4</v>
      </c>
      <c r="W38" s="18">
        <f t="shared" si="9"/>
        <v>1</v>
      </c>
      <c r="X38" s="18">
        <f t="shared" si="10"/>
        <v>3</v>
      </c>
      <c r="Y38" s="18">
        <f t="shared" si="11"/>
        <v>1</v>
      </c>
      <c r="Z38" s="18">
        <f t="shared" si="12"/>
        <v>1</v>
      </c>
      <c r="AA38" s="18">
        <f t="shared" si="13"/>
        <v>1</v>
      </c>
      <c r="AB38" s="18">
        <f t="shared" si="14"/>
        <v>1</v>
      </c>
      <c r="AC38" s="18">
        <f t="shared" si="16"/>
        <v>1</v>
      </c>
      <c r="AD38" s="18">
        <f t="shared" si="15"/>
        <v>1</v>
      </c>
    </row>
    <row r="39" spans="1:30" ht="20" customHeight="1">
      <c r="A39" s="9" t="s">
        <v>140</v>
      </c>
      <c r="B39" s="10" t="s">
        <v>20</v>
      </c>
      <c r="C39" s="11" t="s">
        <v>21</v>
      </c>
      <c r="D39" s="11" t="s">
        <v>122</v>
      </c>
      <c r="E39" s="12">
        <v>2</v>
      </c>
      <c r="F39" s="11" t="s">
        <v>23</v>
      </c>
      <c r="G39" s="11" t="s">
        <v>37</v>
      </c>
      <c r="H39" s="13"/>
      <c r="I39" s="11" t="s">
        <v>141</v>
      </c>
      <c r="J39" s="11" t="s">
        <v>26</v>
      </c>
      <c r="K39" s="11" t="s">
        <v>55</v>
      </c>
      <c r="L39" s="11" t="s">
        <v>73</v>
      </c>
      <c r="M39" s="11" t="s">
        <v>29</v>
      </c>
      <c r="N39" s="11" t="s">
        <v>93</v>
      </c>
      <c r="O39" s="11" t="s">
        <v>26</v>
      </c>
      <c r="P39" s="11" t="s">
        <v>98</v>
      </c>
      <c r="Q39" s="11" t="s">
        <v>58</v>
      </c>
      <c r="R39" s="11" t="s">
        <v>45</v>
      </c>
      <c r="S39" s="18">
        <f t="shared" si="5"/>
        <v>2</v>
      </c>
      <c r="T39" s="18">
        <f t="shared" si="6"/>
        <v>1</v>
      </c>
      <c r="U39" s="18">
        <f t="shared" si="7"/>
        <v>1</v>
      </c>
      <c r="V39" s="18">
        <f t="shared" si="8"/>
        <v>2</v>
      </c>
      <c r="W39" s="18">
        <f t="shared" si="9"/>
        <v>1</v>
      </c>
      <c r="X39" s="18">
        <f t="shared" si="10"/>
        <v>1</v>
      </c>
      <c r="Y39" s="18">
        <f t="shared" si="11"/>
        <v>1</v>
      </c>
      <c r="Z39" s="18">
        <f t="shared" si="12"/>
        <v>1</v>
      </c>
      <c r="AA39" s="18">
        <f t="shared" si="13"/>
        <v>1</v>
      </c>
      <c r="AB39" s="18">
        <f t="shared" si="14"/>
        <v>1</v>
      </c>
      <c r="AC39" s="18">
        <f t="shared" si="16"/>
        <v>1</v>
      </c>
      <c r="AD39" s="18">
        <f t="shared" si="15"/>
        <v>1</v>
      </c>
    </row>
    <row r="40" spans="1:30" ht="20" customHeight="1">
      <c r="A40" s="9" t="s">
        <v>142</v>
      </c>
      <c r="B40" s="10" t="s">
        <v>20</v>
      </c>
      <c r="C40" s="11" t="s">
        <v>21</v>
      </c>
      <c r="D40" s="11" t="s">
        <v>122</v>
      </c>
      <c r="E40" s="12">
        <v>3</v>
      </c>
      <c r="F40" s="11" t="s">
        <v>36</v>
      </c>
      <c r="G40" s="11" t="s">
        <v>37</v>
      </c>
      <c r="H40" s="11" t="s">
        <v>78</v>
      </c>
      <c r="I40" s="11" t="s">
        <v>25</v>
      </c>
      <c r="J40" s="11" t="s">
        <v>26</v>
      </c>
      <c r="K40" s="11" t="s">
        <v>27</v>
      </c>
      <c r="L40" s="11" t="s">
        <v>41</v>
      </c>
      <c r="M40" s="11" t="s">
        <v>67</v>
      </c>
      <c r="N40" s="11" t="s">
        <v>143</v>
      </c>
      <c r="O40" s="11" t="s">
        <v>54</v>
      </c>
      <c r="P40" s="11" t="s">
        <v>57</v>
      </c>
      <c r="Q40" s="11" t="s">
        <v>33</v>
      </c>
      <c r="R40" s="11" t="s">
        <v>52</v>
      </c>
      <c r="S40" s="18">
        <f t="shared" si="5"/>
        <v>2</v>
      </c>
      <c r="T40" s="18">
        <f t="shared" si="6"/>
        <v>1</v>
      </c>
      <c r="U40" s="18">
        <f t="shared" si="7"/>
        <v>1</v>
      </c>
      <c r="V40" s="18">
        <f t="shared" si="8"/>
        <v>3</v>
      </c>
      <c r="W40" s="18">
        <f t="shared" si="9"/>
        <v>1</v>
      </c>
      <c r="X40" s="18">
        <f t="shared" si="10"/>
        <v>1</v>
      </c>
      <c r="Y40" s="18">
        <f t="shared" si="11"/>
        <v>1</v>
      </c>
      <c r="Z40" s="18">
        <f t="shared" si="12"/>
        <v>1</v>
      </c>
      <c r="AA40" s="18">
        <f t="shared" si="13"/>
        <v>1</v>
      </c>
      <c r="AB40" s="18">
        <f t="shared" si="14"/>
        <v>1</v>
      </c>
      <c r="AC40" s="18">
        <f t="shared" si="16"/>
        <v>1</v>
      </c>
      <c r="AD40" s="18">
        <f t="shared" si="15"/>
        <v>1</v>
      </c>
    </row>
    <row r="41" spans="1:30" ht="20" customHeight="1">
      <c r="A41" s="9" t="s">
        <v>144</v>
      </c>
      <c r="B41" s="10" t="s">
        <v>20</v>
      </c>
      <c r="C41" s="11" t="s">
        <v>21</v>
      </c>
      <c r="D41" s="11" t="s">
        <v>122</v>
      </c>
      <c r="E41" s="12">
        <v>2</v>
      </c>
      <c r="F41" s="11" t="s">
        <v>23</v>
      </c>
      <c r="G41" s="11" t="s">
        <v>37</v>
      </c>
      <c r="H41" s="11" t="s">
        <v>145</v>
      </c>
      <c r="I41" s="11" t="s">
        <v>48</v>
      </c>
      <c r="J41" s="11" t="s">
        <v>49</v>
      </c>
      <c r="K41" s="11" t="s">
        <v>62</v>
      </c>
      <c r="L41" s="11" t="s">
        <v>66</v>
      </c>
      <c r="M41" s="11" t="s">
        <v>29</v>
      </c>
      <c r="N41" s="11" t="s">
        <v>146</v>
      </c>
      <c r="O41" s="11" t="s">
        <v>49</v>
      </c>
      <c r="P41" s="11" t="s">
        <v>57</v>
      </c>
      <c r="Q41" s="11" t="s">
        <v>33</v>
      </c>
      <c r="R41" s="11" t="s">
        <v>52</v>
      </c>
      <c r="S41" s="18">
        <f t="shared" si="5"/>
        <v>2</v>
      </c>
      <c r="T41" s="18">
        <f t="shared" si="6"/>
        <v>1</v>
      </c>
      <c r="U41" s="18">
        <f t="shared" si="7"/>
        <v>1</v>
      </c>
      <c r="V41" s="18">
        <f t="shared" si="8"/>
        <v>2</v>
      </c>
      <c r="W41" s="18">
        <f t="shared" si="9"/>
        <v>1</v>
      </c>
      <c r="X41" s="18">
        <f t="shared" si="10"/>
        <v>1</v>
      </c>
      <c r="Y41" s="18">
        <f t="shared" si="11"/>
        <v>1</v>
      </c>
      <c r="Z41" s="18">
        <f t="shared" si="12"/>
        <v>1</v>
      </c>
      <c r="AA41" s="18">
        <f t="shared" si="13"/>
        <v>1</v>
      </c>
      <c r="AB41" s="18">
        <f t="shared" si="14"/>
        <v>1</v>
      </c>
      <c r="AC41" s="18">
        <f t="shared" si="16"/>
        <v>1</v>
      </c>
      <c r="AD41" s="18">
        <f t="shared" si="15"/>
        <v>1</v>
      </c>
    </row>
    <row r="42" spans="1:30" ht="20" customHeight="1">
      <c r="A42" s="9" t="s">
        <v>147</v>
      </c>
      <c r="B42" s="10" t="s">
        <v>20</v>
      </c>
      <c r="C42" s="11" t="s">
        <v>21</v>
      </c>
      <c r="D42" s="11" t="s">
        <v>122</v>
      </c>
      <c r="E42" s="12">
        <v>2</v>
      </c>
      <c r="F42" s="11" t="s">
        <v>36</v>
      </c>
      <c r="G42" s="11" t="s">
        <v>37</v>
      </c>
      <c r="H42" s="11" t="s">
        <v>148</v>
      </c>
      <c r="I42" s="11" t="s">
        <v>39</v>
      </c>
      <c r="J42" s="11" t="s">
        <v>49</v>
      </c>
      <c r="K42" s="11" t="s">
        <v>62</v>
      </c>
      <c r="L42" s="11" t="s">
        <v>73</v>
      </c>
      <c r="M42" s="11" t="s">
        <v>29</v>
      </c>
      <c r="N42" s="11" t="s">
        <v>146</v>
      </c>
      <c r="O42" s="11" t="s">
        <v>49</v>
      </c>
      <c r="P42" s="11" t="s">
        <v>57</v>
      </c>
      <c r="Q42" s="11" t="s">
        <v>127</v>
      </c>
      <c r="R42" s="11" t="s">
        <v>52</v>
      </c>
      <c r="S42" s="18">
        <f t="shared" si="5"/>
        <v>2</v>
      </c>
      <c r="T42" s="18">
        <f t="shared" si="6"/>
        <v>1</v>
      </c>
      <c r="U42" s="18">
        <f t="shared" si="7"/>
        <v>1</v>
      </c>
      <c r="V42" s="18">
        <f t="shared" si="8"/>
        <v>2</v>
      </c>
      <c r="W42" s="18">
        <f t="shared" si="9"/>
        <v>1</v>
      </c>
      <c r="X42" s="18">
        <f t="shared" si="10"/>
        <v>1</v>
      </c>
      <c r="Y42" s="18">
        <f t="shared" si="11"/>
        <v>1</v>
      </c>
      <c r="Z42" s="18">
        <f t="shared" si="12"/>
        <v>1</v>
      </c>
      <c r="AA42" s="18">
        <f t="shared" si="13"/>
        <v>1</v>
      </c>
      <c r="AB42" s="18">
        <f t="shared" si="14"/>
        <v>1</v>
      </c>
      <c r="AC42" s="18">
        <f t="shared" si="16"/>
        <v>1</v>
      </c>
      <c r="AD42" s="18">
        <f t="shared" si="15"/>
        <v>1</v>
      </c>
    </row>
    <row r="43" spans="1:30" ht="20" customHeight="1">
      <c r="A43" s="9" t="s">
        <v>149</v>
      </c>
      <c r="B43" s="10" t="s">
        <v>20</v>
      </c>
      <c r="C43" s="11" t="s">
        <v>21</v>
      </c>
      <c r="D43" s="11" t="s">
        <v>122</v>
      </c>
      <c r="E43" s="12">
        <v>3</v>
      </c>
      <c r="F43" s="11" t="s">
        <v>36</v>
      </c>
      <c r="G43" s="11" t="s">
        <v>37</v>
      </c>
      <c r="H43" s="11" t="s">
        <v>145</v>
      </c>
      <c r="I43" s="11" t="s">
        <v>25</v>
      </c>
      <c r="J43" s="11" t="s">
        <v>54</v>
      </c>
      <c r="K43" s="11" t="s">
        <v>62</v>
      </c>
      <c r="L43" s="11" t="s">
        <v>73</v>
      </c>
      <c r="M43" s="11" t="s">
        <v>67</v>
      </c>
      <c r="N43" s="11" t="s">
        <v>93</v>
      </c>
      <c r="O43" s="11" t="s">
        <v>54</v>
      </c>
      <c r="P43" s="11" t="s">
        <v>57</v>
      </c>
      <c r="Q43" s="11" t="s">
        <v>78</v>
      </c>
      <c r="R43" s="11" t="s">
        <v>64</v>
      </c>
      <c r="S43" s="18">
        <f t="shared" si="5"/>
        <v>2</v>
      </c>
      <c r="T43" s="18">
        <f t="shared" si="6"/>
        <v>1</v>
      </c>
      <c r="U43" s="18">
        <f t="shared" si="7"/>
        <v>1</v>
      </c>
      <c r="V43" s="18">
        <f t="shared" si="8"/>
        <v>3</v>
      </c>
      <c r="W43" s="18">
        <f t="shared" si="9"/>
        <v>1</v>
      </c>
      <c r="X43" s="18">
        <f t="shared" si="10"/>
        <v>1</v>
      </c>
      <c r="Y43" s="18">
        <f t="shared" si="11"/>
        <v>1</v>
      </c>
      <c r="Z43" s="18">
        <f t="shared" si="12"/>
        <v>1</v>
      </c>
      <c r="AA43" s="18">
        <f t="shared" si="13"/>
        <v>1</v>
      </c>
      <c r="AB43" s="18">
        <f t="shared" si="14"/>
        <v>1</v>
      </c>
      <c r="AC43" s="18">
        <f t="shared" si="16"/>
        <v>1</v>
      </c>
      <c r="AD43" s="18">
        <f t="shared" si="15"/>
        <v>1</v>
      </c>
    </row>
    <row r="44" spans="1:30" ht="20" customHeight="1">
      <c r="A44" s="9" t="s">
        <v>150</v>
      </c>
      <c r="B44" s="10" t="s">
        <v>20</v>
      </c>
      <c r="C44" s="11" t="s">
        <v>21</v>
      </c>
      <c r="D44" s="11" t="s">
        <v>122</v>
      </c>
      <c r="E44" s="12">
        <v>2</v>
      </c>
      <c r="F44" s="11" t="s">
        <v>23</v>
      </c>
      <c r="G44" s="11" t="s">
        <v>61</v>
      </c>
      <c r="H44" s="13"/>
      <c r="I44" s="11" t="s">
        <v>25</v>
      </c>
      <c r="J44" s="11" t="s">
        <v>54</v>
      </c>
      <c r="K44" s="11" t="s">
        <v>62</v>
      </c>
      <c r="L44" s="11" t="s">
        <v>73</v>
      </c>
      <c r="M44" s="11" t="s">
        <v>67</v>
      </c>
      <c r="N44" s="11" t="s">
        <v>30</v>
      </c>
      <c r="O44" s="11" t="s">
        <v>54</v>
      </c>
      <c r="P44" s="11" t="s">
        <v>57</v>
      </c>
      <c r="Q44" s="11" t="s">
        <v>51</v>
      </c>
      <c r="R44" s="11" t="s">
        <v>45</v>
      </c>
      <c r="S44" s="18">
        <f t="shared" si="5"/>
        <v>2</v>
      </c>
      <c r="T44" s="18">
        <f t="shared" si="6"/>
        <v>1</v>
      </c>
      <c r="U44" s="18">
        <f t="shared" si="7"/>
        <v>1</v>
      </c>
      <c r="V44" s="18">
        <f t="shared" si="8"/>
        <v>2</v>
      </c>
      <c r="W44" s="18">
        <f t="shared" si="9"/>
        <v>1</v>
      </c>
      <c r="X44" s="18">
        <f t="shared" si="10"/>
        <v>3</v>
      </c>
      <c r="Y44" s="18">
        <f t="shared" si="11"/>
        <v>1</v>
      </c>
      <c r="Z44" s="18">
        <f t="shared" si="12"/>
        <v>1</v>
      </c>
      <c r="AA44" s="18">
        <f t="shared" si="13"/>
        <v>1</v>
      </c>
      <c r="AB44" s="18">
        <f t="shared" si="14"/>
        <v>1</v>
      </c>
      <c r="AC44" s="18">
        <f t="shared" si="16"/>
        <v>1</v>
      </c>
      <c r="AD44" s="18">
        <f t="shared" si="15"/>
        <v>1</v>
      </c>
    </row>
    <row r="45" spans="1:30" ht="20" customHeight="1">
      <c r="A45" s="9" t="s">
        <v>151</v>
      </c>
      <c r="B45" s="10" t="s">
        <v>20</v>
      </c>
      <c r="C45" s="11" t="s">
        <v>21</v>
      </c>
      <c r="D45" s="11" t="s">
        <v>152</v>
      </c>
      <c r="E45" s="12">
        <v>4</v>
      </c>
      <c r="F45" s="11" t="s">
        <v>36</v>
      </c>
      <c r="G45" s="11" t="s">
        <v>37</v>
      </c>
      <c r="H45" s="11" t="s">
        <v>72</v>
      </c>
      <c r="I45" s="11" t="s">
        <v>141</v>
      </c>
      <c r="J45" s="11" t="s">
        <v>54</v>
      </c>
      <c r="K45" s="11" t="s">
        <v>55</v>
      </c>
      <c r="L45" s="11" t="s">
        <v>41</v>
      </c>
      <c r="M45" s="11" t="s">
        <v>21</v>
      </c>
      <c r="N45" s="11" t="s">
        <v>153</v>
      </c>
      <c r="O45" s="11" t="s">
        <v>49</v>
      </c>
      <c r="P45" s="11" t="s">
        <v>57</v>
      </c>
      <c r="Q45" s="11" t="s">
        <v>127</v>
      </c>
      <c r="R45" s="11" t="s">
        <v>59</v>
      </c>
      <c r="S45" s="18">
        <f t="shared" si="5"/>
        <v>2</v>
      </c>
      <c r="T45" s="18">
        <f t="shared" si="6"/>
        <v>1</v>
      </c>
      <c r="U45" s="18">
        <f t="shared" si="7"/>
        <v>1</v>
      </c>
      <c r="V45" s="18">
        <f t="shared" si="8"/>
        <v>4</v>
      </c>
      <c r="W45" s="18">
        <f t="shared" si="9"/>
        <v>1</v>
      </c>
      <c r="X45" s="18">
        <f t="shared" si="10"/>
        <v>1</v>
      </c>
      <c r="Y45" s="18">
        <f t="shared" si="11"/>
        <v>1</v>
      </c>
      <c r="Z45" s="18">
        <f t="shared" si="12"/>
        <v>1</v>
      </c>
      <c r="AA45" s="18">
        <f t="shared" si="13"/>
        <v>1</v>
      </c>
      <c r="AB45" s="18">
        <f t="shared" si="14"/>
        <v>1</v>
      </c>
      <c r="AC45" s="18">
        <f t="shared" si="16"/>
        <v>1</v>
      </c>
      <c r="AD45" s="18">
        <f t="shared" si="15"/>
        <v>1</v>
      </c>
    </row>
    <row r="46" spans="1:30" ht="20" customHeight="1">
      <c r="A46" s="9" t="s">
        <v>154</v>
      </c>
      <c r="B46" s="10" t="s">
        <v>20</v>
      </c>
      <c r="C46" s="11" t="s">
        <v>21</v>
      </c>
      <c r="D46" s="11" t="s">
        <v>122</v>
      </c>
      <c r="E46" s="11" t="s">
        <v>70</v>
      </c>
      <c r="F46" s="11" t="s">
        <v>36</v>
      </c>
      <c r="G46" s="11" t="s">
        <v>37</v>
      </c>
      <c r="H46" s="11" t="s">
        <v>38</v>
      </c>
      <c r="I46" s="11" t="s">
        <v>25</v>
      </c>
      <c r="J46" s="11" t="s">
        <v>49</v>
      </c>
      <c r="K46" s="11" t="s">
        <v>62</v>
      </c>
      <c r="L46" s="11" t="s">
        <v>73</v>
      </c>
      <c r="M46" s="11" t="s">
        <v>67</v>
      </c>
      <c r="N46" s="11" t="s">
        <v>155</v>
      </c>
      <c r="O46" s="11" t="s">
        <v>49</v>
      </c>
      <c r="P46" s="11" t="s">
        <v>43</v>
      </c>
      <c r="Q46" s="11" t="s">
        <v>33</v>
      </c>
      <c r="R46" s="11" t="s">
        <v>64</v>
      </c>
      <c r="S46" s="18">
        <f t="shared" si="5"/>
        <v>2</v>
      </c>
      <c r="T46" s="18">
        <f t="shared" si="6"/>
        <v>1</v>
      </c>
      <c r="U46" s="18">
        <f t="shared" si="7"/>
        <v>1</v>
      </c>
      <c r="V46" s="18">
        <f t="shared" si="8"/>
        <v>1</v>
      </c>
      <c r="W46" s="18">
        <f t="shared" si="9"/>
        <v>1</v>
      </c>
      <c r="X46" s="18">
        <f t="shared" si="10"/>
        <v>1</v>
      </c>
      <c r="Y46" s="18">
        <f t="shared" si="11"/>
        <v>1</v>
      </c>
      <c r="Z46" s="18">
        <f t="shared" si="12"/>
        <v>1</v>
      </c>
      <c r="AA46" s="18">
        <f t="shared" si="13"/>
        <v>1</v>
      </c>
      <c r="AB46" s="18">
        <f t="shared" si="14"/>
        <v>1</v>
      </c>
      <c r="AC46" s="18">
        <f t="shared" si="16"/>
        <v>1</v>
      </c>
      <c r="AD46" s="18">
        <f t="shared" si="15"/>
        <v>1</v>
      </c>
    </row>
    <row r="47" spans="1:30" ht="20" customHeight="1">
      <c r="A47" s="9" t="s">
        <v>156</v>
      </c>
      <c r="B47" s="10" t="s">
        <v>20</v>
      </c>
      <c r="C47" s="11" t="s">
        <v>21</v>
      </c>
      <c r="D47" s="11" t="s">
        <v>157</v>
      </c>
      <c r="E47" s="12">
        <v>2</v>
      </c>
      <c r="F47" s="11" t="s">
        <v>23</v>
      </c>
      <c r="G47" s="11" t="s">
        <v>61</v>
      </c>
      <c r="H47" s="13"/>
      <c r="I47" s="11" t="s">
        <v>48</v>
      </c>
      <c r="J47" s="11" t="s">
        <v>54</v>
      </c>
      <c r="K47" s="11" t="s">
        <v>55</v>
      </c>
      <c r="L47" s="11" t="s">
        <v>73</v>
      </c>
      <c r="M47" s="11" t="s">
        <v>67</v>
      </c>
      <c r="N47" s="11" t="s">
        <v>158</v>
      </c>
      <c r="O47" s="11" t="s">
        <v>26</v>
      </c>
      <c r="P47" s="11" t="s">
        <v>57</v>
      </c>
      <c r="Q47" s="11" t="s">
        <v>33</v>
      </c>
      <c r="R47" s="11" t="s">
        <v>45</v>
      </c>
      <c r="S47" s="18">
        <f t="shared" si="5"/>
        <v>2</v>
      </c>
      <c r="T47" s="18">
        <f t="shared" si="6"/>
        <v>1</v>
      </c>
      <c r="U47" s="18">
        <f t="shared" si="7"/>
        <v>1</v>
      </c>
      <c r="V47" s="18">
        <f t="shared" si="8"/>
        <v>2</v>
      </c>
      <c r="W47" s="18">
        <f t="shared" si="9"/>
        <v>1</v>
      </c>
      <c r="X47" s="18">
        <f t="shared" si="10"/>
        <v>3</v>
      </c>
      <c r="Y47" s="18">
        <f t="shared" si="11"/>
        <v>1</v>
      </c>
      <c r="Z47" s="18">
        <f t="shared" si="12"/>
        <v>1</v>
      </c>
      <c r="AA47" s="18">
        <f t="shared" si="13"/>
        <v>1</v>
      </c>
      <c r="AB47" s="18">
        <f t="shared" si="14"/>
        <v>1</v>
      </c>
      <c r="AC47" s="18">
        <f t="shared" si="16"/>
        <v>1</v>
      </c>
      <c r="AD47" s="18">
        <f t="shared" si="15"/>
        <v>1</v>
      </c>
    </row>
    <row r="48" spans="1:30" ht="20" customHeight="1">
      <c r="A48" s="9" t="s">
        <v>159</v>
      </c>
      <c r="B48" s="10" t="s">
        <v>20</v>
      </c>
      <c r="C48" s="11" t="s">
        <v>21</v>
      </c>
      <c r="D48" s="11" t="s">
        <v>122</v>
      </c>
      <c r="E48" s="11" t="s">
        <v>70</v>
      </c>
      <c r="F48" s="11" t="s">
        <v>85</v>
      </c>
      <c r="G48" s="11" t="s">
        <v>37</v>
      </c>
      <c r="H48" s="11" t="s">
        <v>72</v>
      </c>
      <c r="I48" s="11" t="s">
        <v>25</v>
      </c>
      <c r="J48" s="11" t="s">
        <v>49</v>
      </c>
      <c r="K48" s="11" t="s">
        <v>55</v>
      </c>
      <c r="L48" s="11" t="s">
        <v>73</v>
      </c>
      <c r="M48" s="11" t="s">
        <v>67</v>
      </c>
      <c r="N48" s="11" t="s">
        <v>93</v>
      </c>
      <c r="O48" s="11" t="s">
        <v>49</v>
      </c>
      <c r="P48" s="11" t="s">
        <v>57</v>
      </c>
      <c r="Q48" s="11" t="s">
        <v>58</v>
      </c>
      <c r="R48" s="11" t="s">
        <v>52</v>
      </c>
      <c r="S48" s="18">
        <f t="shared" si="5"/>
        <v>2</v>
      </c>
      <c r="T48" s="18">
        <f t="shared" si="6"/>
        <v>1</v>
      </c>
      <c r="U48" s="18">
        <f t="shared" si="7"/>
        <v>1</v>
      </c>
      <c r="V48" s="18">
        <f t="shared" si="8"/>
        <v>1</v>
      </c>
      <c r="W48" s="18">
        <f t="shared" si="9"/>
        <v>1</v>
      </c>
      <c r="X48" s="18">
        <f t="shared" si="10"/>
        <v>1</v>
      </c>
      <c r="Y48" s="18">
        <f t="shared" si="11"/>
        <v>1</v>
      </c>
      <c r="Z48" s="18">
        <f t="shared" si="12"/>
        <v>1</v>
      </c>
      <c r="AA48" s="18">
        <f t="shared" si="13"/>
        <v>1</v>
      </c>
      <c r="AB48" s="18">
        <f t="shared" si="14"/>
        <v>1</v>
      </c>
      <c r="AC48" s="18">
        <f t="shared" si="16"/>
        <v>1</v>
      </c>
      <c r="AD48" s="18">
        <f t="shared" si="15"/>
        <v>1</v>
      </c>
    </row>
    <row r="49" spans="1:30" ht="20" customHeight="1">
      <c r="A49" s="9" t="s">
        <v>160</v>
      </c>
      <c r="B49" s="10" t="s">
        <v>20</v>
      </c>
      <c r="C49" s="11" t="s">
        <v>21</v>
      </c>
      <c r="D49" s="11" t="s">
        <v>161</v>
      </c>
      <c r="E49" s="12">
        <v>3</v>
      </c>
      <c r="F49" s="11" t="s">
        <v>23</v>
      </c>
      <c r="G49" s="11" t="s">
        <v>61</v>
      </c>
      <c r="H49" s="13"/>
      <c r="I49" s="11" t="s">
        <v>25</v>
      </c>
      <c r="J49" s="11" t="s">
        <v>54</v>
      </c>
      <c r="K49" s="11" t="s">
        <v>62</v>
      </c>
      <c r="L49" s="11" t="s">
        <v>73</v>
      </c>
      <c r="M49" s="11" t="s">
        <v>21</v>
      </c>
      <c r="N49" s="11" t="s">
        <v>63</v>
      </c>
      <c r="O49" s="11" t="s">
        <v>54</v>
      </c>
      <c r="P49" s="11" t="s">
        <v>57</v>
      </c>
      <c r="Q49" s="11" t="s">
        <v>51</v>
      </c>
      <c r="R49" s="11" t="s">
        <v>45</v>
      </c>
      <c r="S49" s="18">
        <f t="shared" si="5"/>
        <v>2</v>
      </c>
      <c r="T49" s="18">
        <f t="shared" si="6"/>
        <v>1</v>
      </c>
      <c r="U49" s="18">
        <f t="shared" si="7"/>
        <v>1</v>
      </c>
      <c r="V49" s="18">
        <f t="shared" si="8"/>
        <v>3</v>
      </c>
      <c r="W49" s="18">
        <f t="shared" si="9"/>
        <v>1</v>
      </c>
      <c r="X49" s="18">
        <f t="shared" si="10"/>
        <v>3</v>
      </c>
      <c r="Y49" s="18">
        <f t="shared" si="11"/>
        <v>1</v>
      </c>
      <c r="Z49" s="18">
        <f t="shared" si="12"/>
        <v>1</v>
      </c>
      <c r="AA49" s="18">
        <f t="shared" si="13"/>
        <v>1</v>
      </c>
      <c r="AB49" s="18">
        <f t="shared" si="14"/>
        <v>1</v>
      </c>
      <c r="AC49" s="18">
        <f t="shared" si="16"/>
        <v>1</v>
      </c>
      <c r="AD49" s="18">
        <f t="shared" si="15"/>
        <v>1</v>
      </c>
    </row>
    <row r="50" spans="1:30" ht="20" customHeight="1">
      <c r="A50" s="9" t="s">
        <v>162</v>
      </c>
      <c r="B50" s="10" t="s">
        <v>20</v>
      </c>
      <c r="C50" s="11" t="s">
        <v>21</v>
      </c>
      <c r="D50" s="11" t="s">
        <v>122</v>
      </c>
      <c r="E50" s="12">
        <v>2</v>
      </c>
      <c r="F50" s="11" t="s">
        <v>85</v>
      </c>
      <c r="G50" s="11" t="s">
        <v>37</v>
      </c>
      <c r="H50" s="11" t="s">
        <v>72</v>
      </c>
      <c r="I50" s="11" t="s">
        <v>48</v>
      </c>
      <c r="J50" s="11" t="s">
        <v>54</v>
      </c>
      <c r="K50" s="11" t="s">
        <v>27</v>
      </c>
      <c r="L50" s="11" t="s">
        <v>73</v>
      </c>
      <c r="M50" s="11" t="s">
        <v>67</v>
      </c>
      <c r="N50" s="11" t="s">
        <v>163</v>
      </c>
      <c r="O50" s="11" t="s">
        <v>49</v>
      </c>
      <c r="P50" s="11" t="s">
        <v>57</v>
      </c>
      <c r="Q50" s="11" t="s">
        <v>33</v>
      </c>
      <c r="R50" s="11" t="s">
        <v>52</v>
      </c>
      <c r="S50" s="18">
        <f t="shared" si="5"/>
        <v>2</v>
      </c>
      <c r="T50" s="18">
        <f t="shared" si="6"/>
        <v>1</v>
      </c>
      <c r="U50" s="18">
        <f t="shared" si="7"/>
        <v>1</v>
      </c>
      <c r="V50" s="18">
        <f t="shared" si="8"/>
        <v>2</v>
      </c>
      <c r="W50" s="18">
        <f t="shared" si="9"/>
        <v>1</v>
      </c>
      <c r="X50" s="18">
        <f t="shared" si="10"/>
        <v>1</v>
      </c>
      <c r="Y50" s="18">
        <f t="shared" si="11"/>
        <v>1</v>
      </c>
      <c r="Z50" s="18">
        <f t="shared" si="12"/>
        <v>1</v>
      </c>
      <c r="AA50" s="18">
        <f t="shared" si="13"/>
        <v>1</v>
      </c>
      <c r="AB50" s="18">
        <f t="shared" si="14"/>
        <v>1</v>
      </c>
      <c r="AC50" s="18">
        <f t="shared" si="16"/>
        <v>1</v>
      </c>
      <c r="AD50" s="18">
        <f t="shared" si="15"/>
        <v>1</v>
      </c>
    </row>
    <row r="51" spans="1:30" ht="20" customHeight="1">
      <c r="A51" s="9" t="s">
        <v>164</v>
      </c>
      <c r="B51" s="10" t="s">
        <v>20</v>
      </c>
      <c r="C51" s="11" t="s">
        <v>21</v>
      </c>
      <c r="D51" s="11" t="s">
        <v>122</v>
      </c>
      <c r="E51" s="12">
        <v>3</v>
      </c>
      <c r="F51" s="11" t="s">
        <v>23</v>
      </c>
      <c r="G51" s="11" t="s">
        <v>97</v>
      </c>
      <c r="H51" s="13"/>
      <c r="I51" s="11" t="s">
        <v>141</v>
      </c>
      <c r="J51" s="11" t="s">
        <v>26</v>
      </c>
      <c r="K51" s="11" t="s">
        <v>27</v>
      </c>
      <c r="L51" s="11" t="s">
        <v>66</v>
      </c>
      <c r="M51" s="11" t="s">
        <v>67</v>
      </c>
      <c r="N51" s="11" t="s">
        <v>165</v>
      </c>
      <c r="O51" s="11" t="s">
        <v>26</v>
      </c>
      <c r="P51" s="11" t="s">
        <v>57</v>
      </c>
      <c r="Q51" s="11" t="s">
        <v>58</v>
      </c>
      <c r="R51" s="11" t="s">
        <v>34</v>
      </c>
      <c r="S51" s="18">
        <f t="shared" si="5"/>
        <v>2</v>
      </c>
      <c r="T51" s="18">
        <f t="shared" si="6"/>
        <v>1</v>
      </c>
      <c r="U51" s="18">
        <f t="shared" si="7"/>
        <v>1</v>
      </c>
      <c r="V51" s="18">
        <f t="shared" si="8"/>
        <v>3</v>
      </c>
      <c r="W51" s="18">
        <f t="shared" si="9"/>
        <v>1</v>
      </c>
      <c r="X51" s="18">
        <f t="shared" si="10"/>
        <v>4</v>
      </c>
      <c r="Y51" s="18">
        <f t="shared" si="11"/>
        <v>1</v>
      </c>
      <c r="Z51" s="18">
        <f t="shared" si="12"/>
        <v>1</v>
      </c>
      <c r="AA51" s="18">
        <f t="shared" si="13"/>
        <v>1</v>
      </c>
      <c r="AB51" s="18">
        <f t="shared" si="14"/>
        <v>1</v>
      </c>
      <c r="AC51" s="18">
        <f t="shared" si="16"/>
        <v>1</v>
      </c>
      <c r="AD51" s="18">
        <f t="shared" si="15"/>
        <v>1</v>
      </c>
    </row>
    <row r="52" spans="1:30" ht="20" customHeight="1">
      <c r="A52" s="9" t="s">
        <v>166</v>
      </c>
      <c r="B52" s="10" t="s">
        <v>20</v>
      </c>
      <c r="C52" s="11" t="s">
        <v>21</v>
      </c>
      <c r="D52" s="11" t="s">
        <v>122</v>
      </c>
      <c r="E52" s="12">
        <v>2</v>
      </c>
      <c r="F52" s="11" t="s">
        <v>36</v>
      </c>
      <c r="G52" s="11" t="s">
        <v>37</v>
      </c>
      <c r="H52" s="11" t="s">
        <v>167</v>
      </c>
      <c r="I52" s="11" t="s">
        <v>48</v>
      </c>
      <c r="J52" s="11" t="s">
        <v>54</v>
      </c>
      <c r="K52" s="11" t="s">
        <v>40</v>
      </c>
      <c r="L52" s="11" t="s">
        <v>66</v>
      </c>
      <c r="M52" s="11" t="s">
        <v>21</v>
      </c>
      <c r="N52" s="11" t="s">
        <v>63</v>
      </c>
      <c r="O52" s="11" t="s">
        <v>49</v>
      </c>
      <c r="P52" s="11" t="s">
        <v>98</v>
      </c>
      <c r="Q52" s="11" t="s">
        <v>51</v>
      </c>
      <c r="R52" s="11" t="s">
        <v>52</v>
      </c>
      <c r="S52" s="18">
        <f t="shared" si="5"/>
        <v>2</v>
      </c>
      <c r="T52" s="18">
        <f t="shared" si="6"/>
        <v>1</v>
      </c>
      <c r="U52" s="18">
        <f t="shared" si="7"/>
        <v>1</v>
      </c>
      <c r="V52" s="18">
        <f t="shared" si="8"/>
        <v>2</v>
      </c>
      <c r="W52" s="18">
        <f t="shared" si="9"/>
        <v>1</v>
      </c>
      <c r="X52" s="18">
        <f t="shared" si="10"/>
        <v>1</v>
      </c>
      <c r="Y52" s="18">
        <f t="shared" si="11"/>
        <v>1</v>
      </c>
      <c r="Z52" s="18">
        <f t="shared" si="12"/>
        <v>1</v>
      </c>
      <c r="AA52" s="18">
        <f t="shared" si="13"/>
        <v>1</v>
      </c>
      <c r="AB52" s="18">
        <f t="shared" si="14"/>
        <v>1</v>
      </c>
      <c r="AC52" s="18">
        <f t="shared" si="16"/>
        <v>1</v>
      </c>
      <c r="AD52" s="18">
        <f t="shared" si="15"/>
        <v>1</v>
      </c>
    </row>
    <row r="53" spans="1:30" ht="20" customHeight="1">
      <c r="A53" s="9" t="s">
        <v>168</v>
      </c>
      <c r="B53" s="10" t="s">
        <v>20</v>
      </c>
      <c r="C53" s="11" t="s">
        <v>21</v>
      </c>
      <c r="D53" s="11" t="s">
        <v>169</v>
      </c>
      <c r="E53" s="12">
        <v>2</v>
      </c>
      <c r="F53" s="11" t="s">
        <v>23</v>
      </c>
      <c r="G53" s="11" t="s">
        <v>61</v>
      </c>
      <c r="H53" s="11" t="s">
        <v>38</v>
      </c>
      <c r="I53" s="11" t="s">
        <v>39</v>
      </c>
      <c r="J53" s="11" t="s">
        <v>54</v>
      </c>
      <c r="K53" s="11" t="s">
        <v>55</v>
      </c>
      <c r="L53" s="11" t="s">
        <v>73</v>
      </c>
      <c r="M53" s="11" t="s">
        <v>67</v>
      </c>
      <c r="N53" s="11" t="s">
        <v>155</v>
      </c>
      <c r="O53" s="11" t="s">
        <v>54</v>
      </c>
      <c r="P53" s="11" t="s">
        <v>57</v>
      </c>
      <c r="Q53" s="11" t="s">
        <v>127</v>
      </c>
      <c r="R53" s="11" t="s">
        <v>34</v>
      </c>
      <c r="S53" s="18">
        <f t="shared" si="5"/>
        <v>2</v>
      </c>
      <c r="T53" s="18">
        <f t="shared" si="6"/>
        <v>1</v>
      </c>
      <c r="U53" s="18">
        <f t="shared" si="7"/>
        <v>1</v>
      </c>
      <c r="V53" s="18">
        <f t="shared" si="8"/>
        <v>2</v>
      </c>
      <c r="W53" s="18">
        <f t="shared" si="9"/>
        <v>1</v>
      </c>
      <c r="X53" s="18">
        <f t="shared" si="10"/>
        <v>3</v>
      </c>
      <c r="Y53" s="18">
        <f t="shared" si="11"/>
        <v>1</v>
      </c>
      <c r="Z53" s="18">
        <f t="shared" si="12"/>
        <v>1</v>
      </c>
      <c r="AA53" s="18">
        <f t="shared" si="13"/>
        <v>1</v>
      </c>
      <c r="AB53" s="18">
        <f t="shared" si="14"/>
        <v>1</v>
      </c>
      <c r="AC53" s="18">
        <f t="shared" si="16"/>
        <v>1</v>
      </c>
      <c r="AD53" s="18">
        <f t="shared" si="15"/>
        <v>1</v>
      </c>
    </row>
    <row r="54" spans="1:30" ht="20" customHeight="1">
      <c r="A54" s="9" t="s">
        <v>170</v>
      </c>
      <c r="B54" s="10" t="s">
        <v>20</v>
      </c>
      <c r="C54" s="11" t="s">
        <v>21</v>
      </c>
      <c r="D54" s="11" t="s">
        <v>122</v>
      </c>
      <c r="E54" s="12">
        <v>3</v>
      </c>
      <c r="F54" s="11" t="s">
        <v>23</v>
      </c>
      <c r="G54" s="11" t="s">
        <v>61</v>
      </c>
      <c r="H54" s="13"/>
      <c r="I54" s="11" t="s">
        <v>25</v>
      </c>
      <c r="J54" s="11" t="s">
        <v>49</v>
      </c>
      <c r="K54" s="11" t="s">
        <v>40</v>
      </c>
      <c r="L54" s="11" t="s">
        <v>73</v>
      </c>
      <c r="M54" s="11" t="s">
        <v>67</v>
      </c>
      <c r="N54" s="11" t="s">
        <v>158</v>
      </c>
      <c r="O54" s="11" t="s">
        <v>49</v>
      </c>
      <c r="P54" s="11" t="s">
        <v>57</v>
      </c>
      <c r="Q54" s="11" t="s">
        <v>127</v>
      </c>
      <c r="R54" s="11" t="s">
        <v>45</v>
      </c>
      <c r="S54" s="18">
        <f t="shared" si="5"/>
        <v>2</v>
      </c>
      <c r="T54" s="18">
        <f t="shared" si="6"/>
        <v>1</v>
      </c>
      <c r="U54" s="18">
        <f t="shared" si="7"/>
        <v>1</v>
      </c>
      <c r="V54" s="18">
        <f t="shared" si="8"/>
        <v>3</v>
      </c>
      <c r="W54" s="18">
        <f t="shared" si="9"/>
        <v>1</v>
      </c>
      <c r="X54" s="18">
        <f t="shared" si="10"/>
        <v>3</v>
      </c>
      <c r="Y54" s="18">
        <f t="shared" si="11"/>
        <v>1</v>
      </c>
      <c r="Z54" s="18">
        <f t="shared" si="12"/>
        <v>1</v>
      </c>
      <c r="AA54" s="18">
        <f t="shared" si="13"/>
        <v>1</v>
      </c>
      <c r="AB54" s="18">
        <f t="shared" si="14"/>
        <v>1</v>
      </c>
      <c r="AC54" s="18">
        <f t="shared" si="16"/>
        <v>1</v>
      </c>
      <c r="AD54" s="18">
        <f t="shared" si="15"/>
        <v>1</v>
      </c>
    </row>
    <row r="55" spans="1:30" ht="20" customHeight="1">
      <c r="A55" s="9" t="s">
        <v>171</v>
      </c>
      <c r="B55" s="10" t="s">
        <v>172</v>
      </c>
      <c r="C55" s="11" t="s">
        <v>21</v>
      </c>
      <c r="D55" s="11" t="s">
        <v>169</v>
      </c>
      <c r="E55" s="12">
        <v>3</v>
      </c>
      <c r="F55" s="11" t="s">
        <v>23</v>
      </c>
      <c r="G55" s="11" t="s">
        <v>24</v>
      </c>
      <c r="H55" s="11" t="s">
        <v>38</v>
      </c>
      <c r="I55" s="11" t="s">
        <v>25</v>
      </c>
      <c r="J55" s="11" t="s">
        <v>31</v>
      </c>
      <c r="K55" s="11" t="s">
        <v>55</v>
      </c>
      <c r="L55" s="11" t="s">
        <v>66</v>
      </c>
      <c r="M55" s="11" t="s">
        <v>29</v>
      </c>
      <c r="N55" s="11" t="s">
        <v>111</v>
      </c>
      <c r="O55" s="11" t="s">
        <v>31</v>
      </c>
      <c r="P55" s="11" t="s">
        <v>57</v>
      </c>
      <c r="Q55" s="11" t="s">
        <v>44</v>
      </c>
      <c r="R55" s="11" t="s">
        <v>64</v>
      </c>
      <c r="S55" s="18">
        <f t="shared" si="5"/>
        <v>5</v>
      </c>
      <c r="T55" s="18">
        <f t="shared" si="6"/>
        <v>1</v>
      </c>
      <c r="U55" s="18">
        <f t="shared" si="7"/>
        <v>1</v>
      </c>
      <c r="V55" s="18">
        <f t="shared" si="8"/>
        <v>3</v>
      </c>
      <c r="W55" s="18">
        <f t="shared" si="9"/>
        <v>1</v>
      </c>
      <c r="X55" s="18">
        <f t="shared" si="10"/>
        <v>1</v>
      </c>
      <c r="Y55" s="18">
        <f t="shared" si="11"/>
        <v>1</v>
      </c>
      <c r="Z55" s="18">
        <f t="shared" si="12"/>
        <v>1</v>
      </c>
      <c r="AA55" s="18">
        <f t="shared" si="13"/>
        <v>1</v>
      </c>
      <c r="AB55" s="18">
        <f t="shared" si="14"/>
        <v>1</v>
      </c>
      <c r="AC55" s="18">
        <f t="shared" si="16"/>
        <v>1</v>
      </c>
      <c r="AD55" s="18">
        <f t="shared" si="15"/>
        <v>1</v>
      </c>
    </row>
    <row r="56" spans="1:30" ht="20" customHeight="1">
      <c r="A56" s="9" t="s">
        <v>173</v>
      </c>
      <c r="B56" s="10" t="s">
        <v>20</v>
      </c>
      <c r="C56" s="11" t="s">
        <v>21</v>
      </c>
      <c r="D56" s="11" t="s">
        <v>122</v>
      </c>
      <c r="E56" s="12">
        <v>2</v>
      </c>
      <c r="F56" s="11" t="s">
        <v>36</v>
      </c>
      <c r="G56" s="11" t="s">
        <v>37</v>
      </c>
      <c r="H56" s="11" t="s">
        <v>72</v>
      </c>
      <c r="I56" s="11" t="s">
        <v>25</v>
      </c>
      <c r="J56" s="11" t="s">
        <v>54</v>
      </c>
      <c r="K56" s="11" t="s">
        <v>55</v>
      </c>
      <c r="L56" s="11" t="s">
        <v>73</v>
      </c>
      <c r="M56" s="11" t="s">
        <v>67</v>
      </c>
      <c r="N56" s="11" t="s">
        <v>111</v>
      </c>
      <c r="O56" s="11" t="s">
        <v>49</v>
      </c>
      <c r="P56" s="11" t="s">
        <v>57</v>
      </c>
      <c r="Q56" s="11" t="s">
        <v>58</v>
      </c>
      <c r="R56" s="11" t="s">
        <v>59</v>
      </c>
      <c r="S56" s="18">
        <f t="shared" si="5"/>
        <v>2</v>
      </c>
      <c r="T56" s="18">
        <f t="shared" si="6"/>
        <v>1</v>
      </c>
      <c r="U56" s="18">
        <f t="shared" si="7"/>
        <v>1</v>
      </c>
      <c r="V56" s="18">
        <f t="shared" si="8"/>
        <v>2</v>
      </c>
      <c r="W56" s="18">
        <f t="shared" si="9"/>
        <v>1</v>
      </c>
      <c r="X56" s="18">
        <f t="shared" si="10"/>
        <v>1</v>
      </c>
      <c r="Y56" s="18">
        <f t="shared" si="11"/>
        <v>1</v>
      </c>
      <c r="Z56" s="18">
        <f t="shared" si="12"/>
        <v>1</v>
      </c>
      <c r="AA56" s="18">
        <f t="shared" si="13"/>
        <v>1</v>
      </c>
      <c r="AB56" s="18">
        <f t="shared" si="14"/>
        <v>1</v>
      </c>
      <c r="AC56" s="18">
        <f t="shared" si="16"/>
        <v>1</v>
      </c>
      <c r="AD56" s="18">
        <f t="shared" si="15"/>
        <v>1</v>
      </c>
    </row>
    <row r="57" spans="1:30" ht="20" customHeight="1">
      <c r="A57" s="9" t="s">
        <v>174</v>
      </c>
      <c r="B57" s="10" t="s">
        <v>47</v>
      </c>
      <c r="C57" s="11" t="s">
        <v>21</v>
      </c>
      <c r="D57" s="11" t="s">
        <v>169</v>
      </c>
      <c r="E57" s="12">
        <v>3</v>
      </c>
      <c r="F57" s="11" t="s">
        <v>23</v>
      </c>
      <c r="G57" s="11" t="s">
        <v>175</v>
      </c>
      <c r="H57" s="11" t="s">
        <v>78</v>
      </c>
      <c r="I57" s="11" t="s">
        <v>25</v>
      </c>
      <c r="J57" s="11" t="s">
        <v>54</v>
      </c>
      <c r="K57" s="11" t="s">
        <v>27</v>
      </c>
      <c r="L57" s="11" t="s">
        <v>66</v>
      </c>
      <c r="M57" s="11" t="s">
        <v>29</v>
      </c>
      <c r="N57" s="11" t="s">
        <v>111</v>
      </c>
      <c r="O57" s="11" t="s">
        <v>54</v>
      </c>
      <c r="P57" s="11" t="s">
        <v>57</v>
      </c>
      <c r="Q57" s="11" t="s">
        <v>44</v>
      </c>
      <c r="R57" s="11" t="s">
        <v>45</v>
      </c>
      <c r="S57" s="18">
        <f t="shared" si="5"/>
        <v>1</v>
      </c>
      <c r="T57" s="18">
        <f t="shared" si="6"/>
        <v>1</v>
      </c>
      <c r="U57" s="18">
        <f t="shared" si="7"/>
        <v>1</v>
      </c>
      <c r="V57" s="18">
        <f t="shared" si="8"/>
        <v>3</v>
      </c>
      <c r="W57" s="18">
        <f t="shared" si="9"/>
        <v>1</v>
      </c>
      <c r="X57" s="18">
        <f t="shared" si="10"/>
        <v>1</v>
      </c>
      <c r="Y57" s="18">
        <f t="shared" si="11"/>
        <v>1</v>
      </c>
      <c r="Z57" s="18">
        <f t="shared" si="12"/>
        <v>1</v>
      </c>
      <c r="AA57" s="18">
        <f t="shared" si="13"/>
        <v>1</v>
      </c>
      <c r="AB57" s="18">
        <f t="shared" si="14"/>
        <v>1</v>
      </c>
      <c r="AC57" s="18">
        <f t="shared" si="16"/>
        <v>1</v>
      </c>
      <c r="AD57" s="18">
        <f t="shared" si="15"/>
        <v>1</v>
      </c>
    </row>
    <row r="58" spans="1:30" ht="20" customHeight="1">
      <c r="A58" s="9" t="s">
        <v>176</v>
      </c>
      <c r="B58" s="10" t="s">
        <v>20</v>
      </c>
      <c r="C58" s="11" t="s">
        <v>21</v>
      </c>
      <c r="D58" s="11" t="s">
        <v>122</v>
      </c>
      <c r="E58" s="12">
        <v>3</v>
      </c>
      <c r="F58" s="11" t="s">
        <v>85</v>
      </c>
      <c r="G58" s="11" t="s">
        <v>37</v>
      </c>
      <c r="H58" s="11" t="s">
        <v>38</v>
      </c>
      <c r="I58" s="11" t="s">
        <v>48</v>
      </c>
      <c r="J58" s="11" t="s">
        <v>26</v>
      </c>
      <c r="K58" s="11" t="s">
        <v>55</v>
      </c>
      <c r="L58" s="11" t="s">
        <v>73</v>
      </c>
      <c r="M58" s="11" t="s">
        <v>67</v>
      </c>
      <c r="N58" s="11" t="s">
        <v>111</v>
      </c>
      <c r="O58" s="11" t="s">
        <v>49</v>
      </c>
      <c r="P58" s="11" t="s">
        <v>57</v>
      </c>
      <c r="Q58" s="11" t="s">
        <v>58</v>
      </c>
      <c r="R58" s="11" t="s">
        <v>45</v>
      </c>
      <c r="S58" s="18">
        <f t="shared" si="5"/>
        <v>2</v>
      </c>
      <c r="T58" s="18">
        <f t="shared" si="6"/>
        <v>1</v>
      </c>
      <c r="U58" s="18">
        <f t="shared" si="7"/>
        <v>1</v>
      </c>
      <c r="V58" s="18">
        <f t="shared" si="8"/>
        <v>3</v>
      </c>
      <c r="W58" s="18">
        <f t="shared" si="9"/>
        <v>1</v>
      </c>
      <c r="X58" s="18">
        <f t="shared" si="10"/>
        <v>1</v>
      </c>
      <c r="Y58" s="18">
        <f t="shared" si="11"/>
        <v>1</v>
      </c>
      <c r="Z58" s="18">
        <f t="shared" si="12"/>
        <v>1</v>
      </c>
      <c r="AA58" s="18">
        <f t="shared" si="13"/>
        <v>1</v>
      </c>
      <c r="AB58" s="18">
        <f t="shared" si="14"/>
        <v>1</v>
      </c>
      <c r="AC58" s="18">
        <f t="shared" si="16"/>
        <v>1</v>
      </c>
      <c r="AD58" s="18">
        <f t="shared" si="15"/>
        <v>1</v>
      </c>
    </row>
    <row r="59" spans="1:30" ht="20" customHeight="1">
      <c r="A59" s="9" t="s">
        <v>177</v>
      </c>
      <c r="B59" s="10" t="s">
        <v>20</v>
      </c>
      <c r="C59" s="11" t="s">
        <v>21</v>
      </c>
      <c r="D59" s="11" t="s">
        <v>122</v>
      </c>
      <c r="E59" s="12">
        <v>3</v>
      </c>
      <c r="F59" s="11" t="s">
        <v>85</v>
      </c>
      <c r="G59" s="11" t="s">
        <v>37</v>
      </c>
      <c r="H59" s="11" t="s">
        <v>38</v>
      </c>
      <c r="I59" s="11" t="s">
        <v>48</v>
      </c>
      <c r="J59" s="11" t="s">
        <v>26</v>
      </c>
      <c r="K59" s="11" t="s">
        <v>55</v>
      </c>
      <c r="L59" s="11" t="s">
        <v>73</v>
      </c>
      <c r="M59" s="11" t="s">
        <v>67</v>
      </c>
      <c r="N59" s="11" t="s">
        <v>111</v>
      </c>
      <c r="O59" s="11" t="s">
        <v>49</v>
      </c>
      <c r="P59" s="11" t="s">
        <v>57</v>
      </c>
      <c r="Q59" s="11" t="s">
        <v>58</v>
      </c>
      <c r="R59" s="11" t="s">
        <v>45</v>
      </c>
      <c r="S59" s="18">
        <f t="shared" si="5"/>
        <v>2</v>
      </c>
      <c r="T59" s="18">
        <f t="shared" si="6"/>
        <v>1</v>
      </c>
      <c r="U59" s="18">
        <f t="shared" si="7"/>
        <v>1</v>
      </c>
      <c r="V59" s="18">
        <f t="shared" si="8"/>
        <v>3</v>
      </c>
      <c r="W59" s="18">
        <f t="shared" si="9"/>
        <v>1</v>
      </c>
      <c r="X59" s="18">
        <f t="shared" si="10"/>
        <v>1</v>
      </c>
      <c r="Y59" s="18">
        <f t="shared" si="11"/>
        <v>1</v>
      </c>
      <c r="Z59" s="18">
        <f t="shared" si="12"/>
        <v>1</v>
      </c>
      <c r="AA59" s="18">
        <f t="shared" si="13"/>
        <v>1</v>
      </c>
      <c r="AB59" s="18">
        <f t="shared" si="14"/>
        <v>1</v>
      </c>
      <c r="AC59" s="18">
        <f t="shared" si="16"/>
        <v>1</v>
      </c>
      <c r="AD59" s="18">
        <f t="shared" si="15"/>
        <v>1</v>
      </c>
    </row>
    <row r="60" spans="1:30" ht="20" customHeight="1">
      <c r="A60" s="9" t="s">
        <v>178</v>
      </c>
      <c r="B60" s="10" t="s">
        <v>179</v>
      </c>
      <c r="C60" s="11" t="s">
        <v>21</v>
      </c>
      <c r="D60" s="11" t="s">
        <v>169</v>
      </c>
      <c r="E60" s="11" t="s">
        <v>70</v>
      </c>
      <c r="F60" s="11" t="s">
        <v>23</v>
      </c>
      <c r="G60" s="11" t="s">
        <v>61</v>
      </c>
      <c r="H60" s="13"/>
      <c r="I60" s="11" t="s">
        <v>25</v>
      </c>
      <c r="J60" s="11" t="s">
        <v>49</v>
      </c>
      <c r="K60" s="11" t="s">
        <v>80</v>
      </c>
      <c r="L60" s="11" t="s">
        <v>92</v>
      </c>
      <c r="M60" s="11" t="s">
        <v>67</v>
      </c>
      <c r="N60" s="11" t="s">
        <v>116</v>
      </c>
      <c r="O60" s="11" t="s">
        <v>49</v>
      </c>
      <c r="P60" s="11" t="s">
        <v>107</v>
      </c>
      <c r="Q60" s="11" t="s">
        <v>127</v>
      </c>
      <c r="R60" s="11" t="s">
        <v>52</v>
      </c>
      <c r="S60" s="18">
        <f t="shared" si="5"/>
        <v>4</v>
      </c>
      <c r="T60" s="18">
        <f t="shared" si="6"/>
        <v>1</v>
      </c>
      <c r="U60" s="18">
        <f t="shared" si="7"/>
        <v>1</v>
      </c>
      <c r="V60" s="18">
        <f t="shared" si="8"/>
        <v>1</v>
      </c>
      <c r="W60" s="18">
        <f t="shared" si="9"/>
        <v>1</v>
      </c>
      <c r="X60" s="18">
        <f t="shared" si="10"/>
        <v>3</v>
      </c>
      <c r="Y60" s="18">
        <f t="shared" si="11"/>
        <v>1</v>
      </c>
      <c r="Z60" s="18">
        <f t="shared" si="12"/>
        <v>1</v>
      </c>
      <c r="AA60" s="18">
        <f t="shared" si="13"/>
        <v>1</v>
      </c>
      <c r="AB60" s="18">
        <f t="shared" si="14"/>
        <v>1</v>
      </c>
      <c r="AC60" s="18">
        <f t="shared" si="16"/>
        <v>1</v>
      </c>
      <c r="AD60" s="18">
        <f t="shared" si="15"/>
        <v>1</v>
      </c>
    </row>
    <row r="61" spans="1:30" ht="20" customHeight="1">
      <c r="A61" s="9" t="s">
        <v>180</v>
      </c>
      <c r="B61" s="10" t="s">
        <v>20</v>
      </c>
      <c r="C61" s="11" t="s">
        <v>21</v>
      </c>
      <c r="D61" s="11" t="s">
        <v>122</v>
      </c>
      <c r="E61" s="12">
        <v>2</v>
      </c>
      <c r="F61" s="11" t="s">
        <v>23</v>
      </c>
      <c r="G61" s="11" t="s">
        <v>61</v>
      </c>
      <c r="H61" s="13"/>
      <c r="I61" s="11" t="s">
        <v>39</v>
      </c>
      <c r="J61" s="11" t="s">
        <v>49</v>
      </c>
      <c r="K61" s="11" t="s">
        <v>62</v>
      </c>
      <c r="L61" s="11" t="s">
        <v>73</v>
      </c>
      <c r="M61" s="11" t="s">
        <v>21</v>
      </c>
      <c r="N61" s="11" t="s">
        <v>132</v>
      </c>
      <c r="O61" s="11" t="s">
        <v>49</v>
      </c>
      <c r="P61" s="11" t="s">
        <v>57</v>
      </c>
      <c r="Q61" s="11" t="s">
        <v>44</v>
      </c>
      <c r="R61" s="11" t="s">
        <v>45</v>
      </c>
      <c r="S61" s="18">
        <f t="shared" si="5"/>
        <v>2</v>
      </c>
      <c r="T61" s="18">
        <f t="shared" si="6"/>
        <v>1</v>
      </c>
      <c r="U61" s="18">
        <f t="shared" si="7"/>
        <v>1</v>
      </c>
      <c r="V61" s="18">
        <f t="shared" si="8"/>
        <v>2</v>
      </c>
      <c r="W61" s="18">
        <f t="shared" si="9"/>
        <v>1</v>
      </c>
      <c r="X61" s="18">
        <f t="shared" si="10"/>
        <v>3</v>
      </c>
      <c r="Y61" s="18">
        <f t="shared" si="11"/>
        <v>1</v>
      </c>
      <c r="Z61" s="18">
        <f t="shared" si="12"/>
        <v>1</v>
      </c>
      <c r="AA61" s="18">
        <f t="shared" si="13"/>
        <v>1</v>
      </c>
      <c r="AB61" s="18">
        <f t="shared" si="14"/>
        <v>1</v>
      </c>
      <c r="AC61" s="18">
        <f t="shared" si="16"/>
        <v>1</v>
      </c>
      <c r="AD61" s="18">
        <f t="shared" si="15"/>
        <v>1</v>
      </c>
    </row>
    <row r="62" spans="1:30" ht="20" customHeight="1">
      <c r="A62" s="9" t="s">
        <v>181</v>
      </c>
      <c r="B62" s="10" t="s">
        <v>47</v>
      </c>
      <c r="C62" s="11" t="s">
        <v>21</v>
      </c>
      <c r="D62" s="11" t="s">
        <v>169</v>
      </c>
      <c r="E62" s="12">
        <v>3</v>
      </c>
      <c r="F62" s="11" t="s">
        <v>36</v>
      </c>
      <c r="G62" s="11" t="s">
        <v>37</v>
      </c>
      <c r="H62" s="11" t="s">
        <v>182</v>
      </c>
      <c r="I62" s="11" t="s">
        <v>48</v>
      </c>
      <c r="J62" s="11" t="s">
        <v>54</v>
      </c>
      <c r="K62" s="11" t="s">
        <v>62</v>
      </c>
      <c r="L62" s="11" t="s">
        <v>73</v>
      </c>
      <c r="M62" s="11" t="s">
        <v>67</v>
      </c>
      <c r="N62" s="11" t="s">
        <v>129</v>
      </c>
      <c r="O62" s="11" t="s">
        <v>31</v>
      </c>
      <c r="P62" s="11" t="s">
        <v>57</v>
      </c>
      <c r="Q62" s="11" t="s">
        <v>51</v>
      </c>
      <c r="R62" s="11" t="s">
        <v>45</v>
      </c>
      <c r="S62" s="18">
        <f t="shared" si="5"/>
        <v>1</v>
      </c>
      <c r="T62" s="18">
        <f t="shared" si="6"/>
        <v>1</v>
      </c>
      <c r="U62" s="18">
        <f t="shared" si="7"/>
        <v>1</v>
      </c>
      <c r="V62" s="18">
        <f t="shared" si="8"/>
        <v>3</v>
      </c>
      <c r="W62" s="18">
        <f t="shared" si="9"/>
        <v>1</v>
      </c>
      <c r="X62" s="18">
        <f t="shared" si="10"/>
        <v>1</v>
      </c>
      <c r="Y62" s="18">
        <f t="shared" si="11"/>
        <v>1</v>
      </c>
      <c r="Z62" s="18">
        <f t="shared" si="12"/>
        <v>1</v>
      </c>
      <c r="AA62" s="18">
        <f t="shared" si="13"/>
        <v>1</v>
      </c>
      <c r="AB62" s="18">
        <f t="shared" si="14"/>
        <v>1</v>
      </c>
      <c r="AC62" s="18">
        <f t="shared" si="16"/>
        <v>1</v>
      </c>
      <c r="AD62" s="18">
        <f t="shared" si="15"/>
        <v>1</v>
      </c>
    </row>
    <row r="63" spans="1:30" ht="20" customHeight="1">
      <c r="A63" s="9" t="s">
        <v>183</v>
      </c>
      <c r="B63" s="10" t="s">
        <v>20</v>
      </c>
      <c r="C63" s="11" t="s">
        <v>21</v>
      </c>
      <c r="D63" s="11" t="s">
        <v>169</v>
      </c>
      <c r="E63" s="11" t="s">
        <v>70</v>
      </c>
      <c r="F63" s="11" t="s">
        <v>23</v>
      </c>
      <c r="G63" s="11" t="s">
        <v>61</v>
      </c>
      <c r="H63" s="13"/>
      <c r="I63" s="11" t="s">
        <v>48</v>
      </c>
      <c r="J63" s="11" t="s">
        <v>49</v>
      </c>
      <c r="K63" s="11" t="s">
        <v>62</v>
      </c>
      <c r="L63" s="11" t="s">
        <v>73</v>
      </c>
      <c r="M63" s="11" t="s">
        <v>29</v>
      </c>
      <c r="N63" s="11" t="s">
        <v>111</v>
      </c>
      <c r="O63" s="11" t="s">
        <v>49</v>
      </c>
      <c r="P63" s="11" t="s">
        <v>57</v>
      </c>
      <c r="Q63" s="11" t="s">
        <v>127</v>
      </c>
      <c r="R63" s="11" t="s">
        <v>34</v>
      </c>
      <c r="S63" s="18">
        <f t="shared" si="5"/>
        <v>2</v>
      </c>
      <c r="T63" s="18">
        <f t="shared" si="6"/>
        <v>1</v>
      </c>
      <c r="U63" s="18">
        <f t="shared" si="7"/>
        <v>1</v>
      </c>
      <c r="V63" s="18">
        <f t="shared" si="8"/>
        <v>1</v>
      </c>
      <c r="W63" s="18">
        <f t="shared" si="9"/>
        <v>1</v>
      </c>
      <c r="X63" s="18">
        <f t="shared" si="10"/>
        <v>3</v>
      </c>
      <c r="Y63" s="18">
        <f t="shared" si="11"/>
        <v>1</v>
      </c>
      <c r="Z63" s="18">
        <f t="shared" si="12"/>
        <v>1</v>
      </c>
      <c r="AA63" s="18">
        <f t="shared" si="13"/>
        <v>1</v>
      </c>
      <c r="AB63" s="18">
        <f t="shared" si="14"/>
        <v>1</v>
      </c>
      <c r="AC63" s="18">
        <f t="shared" si="16"/>
        <v>1</v>
      </c>
      <c r="AD63" s="18">
        <f t="shared" si="15"/>
        <v>1</v>
      </c>
    </row>
    <row r="64" spans="1:30" ht="20" customHeight="1">
      <c r="A64" s="9" t="s">
        <v>184</v>
      </c>
      <c r="B64" s="10" t="s">
        <v>172</v>
      </c>
      <c r="C64" s="11" t="s">
        <v>21</v>
      </c>
      <c r="D64" s="11" t="s">
        <v>169</v>
      </c>
      <c r="E64" s="12">
        <v>4</v>
      </c>
      <c r="F64" s="11" t="s">
        <v>23</v>
      </c>
      <c r="G64" s="11" t="s">
        <v>175</v>
      </c>
      <c r="H64" s="13"/>
      <c r="I64" s="11" t="s">
        <v>25</v>
      </c>
      <c r="J64" s="11" t="s">
        <v>49</v>
      </c>
      <c r="K64" s="11" t="s">
        <v>62</v>
      </c>
      <c r="L64" s="11" t="s">
        <v>66</v>
      </c>
      <c r="M64" s="11" t="s">
        <v>29</v>
      </c>
      <c r="N64" s="11" t="s">
        <v>111</v>
      </c>
      <c r="O64" s="11" t="s">
        <v>26</v>
      </c>
      <c r="P64" s="11" t="s">
        <v>57</v>
      </c>
      <c r="Q64" s="11" t="s">
        <v>44</v>
      </c>
      <c r="R64" s="11" t="s">
        <v>45</v>
      </c>
      <c r="S64" s="18">
        <f t="shared" si="5"/>
        <v>5</v>
      </c>
      <c r="T64" s="18">
        <f t="shared" si="6"/>
        <v>1</v>
      </c>
      <c r="U64" s="18">
        <f t="shared" si="7"/>
        <v>1</v>
      </c>
      <c r="V64" s="18">
        <f t="shared" si="8"/>
        <v>4</v>
      </c>
      <c r="W64" s="18">
        <f t="shared" si="9"/>
        <v>1</v>
      </c>
      <c r="X64" s="18">
        <f t="shared" si="10"/>
        <v>1</v>
      </c>
      <c r="Y64" s="18">
        <f t="shared" si="11"/>
        <v>1</v>
      </c>
      <c r="Z64" s="18">
        <f t="shared" si="12"/>
        <v>1</v>
      </c>
      <c r="AA64" s="18">
        <f t="shared" si="13"/>
        <v>1</v>
      </c>
      <c r="AB64" s="18">
        <f t="shared" si="14"/>
        <v>1</v>
      </c>
      <c r="AC64" s="18">
        <f t="shared" si="16"/>
        <v>1</v>
      </c>
      <c r="AD64" s="18">
        <f t="shared" si="15"/>
        <v>1</v>
      </c>
    </row>
    <row r="65" spans="1:30" ht="20" customHeight="1">
      <c r="A65" s="9" t="s">
        <v>185</v>
      </c>
      <c r="B65" s="10" t="s">
        <v>172</v>
      </c>
      <c r="C65" s="11" t="s">
        <v>21</v>
      </c>
      <c r="D65" s="11" t="s">
        <v>169</v>
      </c>
      <c r="E65" s="12">
        <v>3</v>
      </c>
      <c r="F65" s="11" t="s">
        <v>36</v>
      </c>
      <c r="G65" s="11" t="s">
        <v>37</v>
      </c>
      <c r="H65" s="11" t="s">
        <v>38</v>
      </c>
      <c r="I65" s="11" t="s">
        <v>48</v>
      </c>
      <c r="J65" s="11" t="s">
        <v>49</v>
      </c>
      <c r="K65" s="11" t="s">
        <v>80</v>
      </c>
      <c r="L65" s="11" t="s">
        <v>41</v>
      </c>
      <c r="M65" s="11" t="s">
        <v>67</v>
      </c>
      <c r="N65" s="11" t="s">
        <v>50</v>
      </c>
      <c r="O65" s="11" t="s">
        <v>49</v>
      </c>
      <c r="P65" s="11" t="s">
        <v>107</v>
      </c>
      <c r="Q65" s="11" t="s">
        <v>44</v>
      </c>
      <c r="R65" s="11" t="s">
        <v>45</v>
      </c>
      <c r="S65" s="18">
        <f t="shared" si="5"/>
        <v>5</v>
      </c>
      <c r="T65" s="18">
        <f t="shared" si="6"/>
        <v>1</v>
      </c>
      <c r="U65" s="18">
        <f t="shared" si="7"/>
        <v>1</v>
      </c>
      <c r="V65" s="18">
        <f t="shared" si="8"/>
        <v>3</v>
      </c>
      <c r="W65" s="18">
        <f t="shared" si="9"/>
        <v>1</v>
      </c>
      <c r="X65" s="18">
        <f t="shared" si="10"/>
        <v>1</v>
      </c>
      <c r="Y65" s="18">
        <f t="shared" si="11"/>
        <v>1</v>
      </c>
      <c r="Z65" s="18">
        <f t="shared" si="12"/>
        <v>1</v>
      </c>
      <c r="AA65" s="18">
        <f t="shared" si="13"/>
        <v>1</v>
      </c>
      <c r="AB65" s="18">
        <f t="shared" si="14"/>
        <v>1</v>
      </c>
      <c r="AC65" s="18">
        <f t="shared" si="16"/>
        <v>1</v>
      </c>
      <c r="AD65" s="18">
        <f t="shared" si="15"/>
        <v>1</v>
      </c>
    </row>
    <row r="66" spans="1:30" ht="20" customHeight="1">
      <c r="A66" s="9" t="s">
        <v>186</v>
      </c>
      <c r="B66" s="10" t="s">
        <v>20</v>
      </c>
      <c r="C66" s="11" t="s">
        <v>21</v>
      </c>
      <c r="D66" s="11" t="s">
        <v>122</v>
      </c>
      <c r="E66" s="12">
        <v>2</v>
      </c>
      <c r="F66" s="11" t="s">
        <v>85</v>
      </c>
      <c r="G66" s="11" t="s">
        <v>37</v>
      </c>
      <c r="H66" s="11" t="s">
        <v>38</v>
      </c>
      <c r="I66" s="11" t="s">
        <v>25</v>
      </c>
      <c r="J66" s="11" t="s">
        <v>49</v>
      </c>
      <c r="K66" s="11" t="s">
        <v>62</v>
      </c>
      <c r="L66" s="11" t="s">
        <v>56</v>
      </c>
      <c r="M66" s="11" t="s">
        <v>67</v>
      </c>
      <c r="N66" s="11" t="s">
        <v>63</v>
      </c>
      <c r="O66" s="11" t="s">
        <v>54</v>
      </c>
      <c r="P66" s="11" t="s">
        <v>57</v>
      </c>
      <c r="Q66" s="11" t="s">
        <v>44</v>
      </c>
      <c r="R66" s="11" t="s">
        <v>45</v>
      </c>
      <c r="S66" s="18">
        <f t="shared" si="5"/>
        <v>2</v>
      </c>
      <c r="T66" s="18">
        <f t="shared" si="6"/>
        <v>1</v>
      </c>
      <c r="U66" s="18">
        <f t="shared" si="7"/>
        <v>1</v>
      </c>
      <c r="V66" s="18">
        <f t="shared" si="8"/>
        <v>2</v>
      </c>
      <c r="W66" s="18">
        <f t="shared" si="9"/>
        <v>1</v>
      </c>
      <c r="X66" s="18">
        <f t="shared" si="10"/>
        <v>1</v>
      </c>
      <c r="Y66" s="18">
        <f t="shared" si="11"/>
        <v>1</v>
      </c>
      <c r="Z66" s="18">
        <f t="shared" si="12"/>
        <v>1</v>
      </c>
      <c r="AA66" s="18">
        <f t="shared" si="13"/>
        <v>1</v>
      </c>
      <c r="AB66" s="18">
        <f t="shared" si="14"/>
        <v>1</v>
      </c>
      <c r="AC66" s="18">
        <f t="shared" si="16"/>
        <v>1</v>
      </c>
      <c r="AD66" s="18">
        <f t="shared" si="15"/>
        <v>1</v>
      </c>
    </row>
    <row r="67" spans="1:30" ht="20" customHeight="1">
      <c r="A67" s="9" t="s">
        <v>187</v>
      </c>
      <c r="B67" s="10" t="s">
        <v>172</v>
      </c>
      <c r="C67" s="11" t="s">
        <v>21</v>
      </c>
      <c r="D67" s="11" t="s">
        <v>169</v>
      </c>
      <c r="E67" s="12">
        <v>2</v>
      </c>
      <c r="F67" s="11" t="s">
        <v>23</v>
      </c>
      <c r="G67" s="11" t="s">
        <v>97</v>
      </c>
      <c r="H67" s="11" t="s">
        <v>126</v>
      </c>
      <c r="I67" s="11" t="s">
        <v>48</v>
      </c>
      <c r="J67" s="11" t="s">
        <v>49</v>
      </c>
      <c r="K67" s="11" t="s">
        <v>40</v>
      </c>
      <c r="L67" s="11" t="s">
        <v>56</v>
      </c>
      <c r="M67" s="11" t="s">
        <v>67</v>
      </c>
      <c r="N67" s="11" t="s">
        <v>132</v>
      </c>
      <c r="O67" s="11" t="s">
        <v>49</v>
      </c>
      <c r="P67" s="11" t="s">
        <v>43</v>
      </c>
      <c r="Q67" s="11" t="s">
        <v>58</v>
      </c>
      <c r="R67" s="11" t="s">
        <v>52</v>
      </c>
      <c r="S67" s="18">
        <f t="shared" ref="S67:S74" si="17">IF(ISNUMBER(SEARCH("5", B67)), 5, IF(ISNUMBER(SEARCH("4", B67)), 4, IF(ISNUMBER(SEARCH("3", B67)), 3, IF(ISNUMBER(SEARCH("2", B67)), 2, 1))))</f>
        <v>5</v>
      </c>
      <c r="T67" s="18">
        <f t="shared" ref="T67:T74" si="18">IF(ISNUMBER(SEARCH("5", C67)), 5, IF(ISNUMBER(SEARCH("4", C67)), 4, IF(ISNUMBER(SEARCH("3", C67)), 3, IF(ISNUMBER(SEARCH("2", C67)), 2, 1))))</f>
        <v>1</v>
      </c>
      <c r="U67" s="18">
        <f t="shared" ref="U67:U74" si="19">IF(ISNUMBER(SEARCH("5", D67)), 5, IF(ISNUMBER(SEARCH("4", D67)), 4, IF(ISNUMBER(SEARCH("3", D67)), 3, IF(ISNUMBER(SEARCH("2", D67)), 2, 1))))</f>
        <v>1</v>
      </c>
      <c r="V67" s="18">
        <f t="shared" ref="V67:V74" si="20">IF(ISNUMBER(SEARCH("5", E67)), 5, IF(ISNUMBER(SEARCH("4", E67)), 4, IF(ISNUMBER(SEARCH("3", E67)), 3, IF(ISNUMBER(SEARCH("2", E67)), 2, 1))))</f>
        <v>2</v>
      </c>
      <c r="W67" s="18">
        <f t="shared" ref="W67:W74" si="21">IF(ISNUMBER(SEARCH("5", F67)), 5, IF(ISNUMBER(SEARCH("4", F67)), 4, IF(ISNUMBER(SEARCH("3", F67)), 3, IF(ISNUMBER(SEARCH("2", F67)), 2, 1))))</f>
        <v>1</v>
      </c>
      <c r="X67" s="18">
        <f t="shared" ref="X67:X74" si="22">IF(ISNUMBER(SEARCH("5", G67)), 5, IF(ISNUMBER(SEARCH("4", G67)), 4, IF(ISNUMBER(SEARCH("3", G67)), 3, IF(ISNUMBER(SEARCH("2", G67)), 2, 1))))</f>
        <v>4</v>
      </c>
      <c r="Y67" s="18">
        <f t="shared" ref="Y67:Y74" si="23">IF(ISNUMBER(SEARCH("5", H67)), 5, IF(ISNUMBER(SEARCH("4", H67)), 4, IF(ISNUMBER(SEARCH("3", H67)), 3, IF(ISNUMBER(SEARCH("2", H67)), 2, 1))))</f>
        <v>1</v>
      </c>
      <c r="Z67" s="18">
        <f t="shared" ref="Z67:Z74" si="24">IF(ISNUMBER(SEARCH("5", I67)), 5, IF(ISNUMBER(SEARCH("4", I67)), 4, IF(ISNUMBER(SEARCH("3", I67)), 3, IF(ISNUMBER(SEARCH("2", I67)), 2, 1))))</f>
        <v>1</v>
      </c>
      <c r="AA67" s="18">
        <f t="shared" ref="AA67:AA74" si="25">IF(OR(J67="Very familiar", J67="Strongly agree 非常同意", J67="Very willing 非常願意"), 5,
 IF(OR(J67="Somewhat familiar", J67="Agree 同意", J67="Somewhat willing 有些願意"), 4,
  IF(OR(J67="Neutral", J67="Neither willing nor unwilling 既不願意也不排斥", B67="Neutral 中立"), 3,
   IF(OR(B67="Not very familiar", B67="Disagree 不同意", B67="Somewhat unwilling 有些不願意"), 2, 1))))</f>
        <v>1</v>
      </c>
      <c r="AB67" s="18">
        <f t="shared" ref="AB67:AB74" si="26">IF(ISNUMBER(SEARCH("5", K67)), 5, IF(ISNUMBER(SEARCH("4", K67)), 4, IF(ISNUMBER(SEARCH("3", K67)), 3, IF(ISNUMBER(SEARCH("2", K67)), 2, 1))))</f>
        <v>1</v>
      </c>
      <c r="AC67" s="18">
        <f t="shared" ref="AC67:AC74" si="27">IF(ISNUMBER(SEARCH("5", L67)), 5, IF(ISNUMBER(SEARCH("4", L67)), 4, IF(ISNUMBER(SEARCH("3", L67)), 3, IF(ISNUMBER(SEARCH("2", L67)), 2, 1))))</f>
        <v>1</v>
      </c>
      <c r="AD67" s="18">
        <f t="shared" ref="AD67:AD74" si="28">IF(ISNUMBER(SEARCH("5", M67)), 5, IF(ISNUMBER(SEARCH("4", M67)), 4, IF(ISNUMBER(SEARCH("3", M67)), 3, IF(ISNUMBER(SEARCH("2", M67)), 2, 1))))</f>
        <v>1</v>
      </c>
    </row>
    <row r="68" spans="1:30" ht="20" customHeight="1">
      <c r="A68" s="9" t="s">
        <v>188</v>
      </c>
      <c r="B68" s="10" t="s">
        <v>20</v>
      </c>
      <c r="C68" s="11" t="s">
        <v>21</v>
      </c>
      <c r="D68" s="11" t="s">
        <v>122</v>
      </c>
      <c r="E68" s="11" t="s">
        <v>70</v>
      </c>
      <c r="F68" s="11" t="s">
        <v>36</v>
      </c>
      <c r="G68" s="11" t="s">
        <v>37</v>
      </c>
      <c r="H68" s="11" t="s">
        <v>72</v>
      </c>
      <c r="I68" s="11" t="s">
        <v>39</v>
      </c>
      <c r="J68" s="11" t="s">
        <v>49</v>
      </c>
      <c r="K68" s="11" t="s">
        <v>55</v>
      </c>
      <c r="L68" s="11" t="s">
        <v>73</v>
      </c>
      <c r="M68" s="11" t="s">
        <v>67</v>
      </c>
      <c r="N68" s="11" t="s">
        <v>123</v>
      </c>
      <c r="O68" s="11" t="s">
        <v>49</v>
      </c>
      <c r="P68" s="11" t="s">
        <v>57</v>
      </c>
      <c r="Q68" s="11" t="s">
        <v>44</v>
      </c>
      <c r="R68" s="11" t="s">
        <v>52</v>
      </c>
      <c r="S68" s="18">
        <f t="shared" si="17"/>
        <v>2</v>
      </c>
      <c r="T68" s="18">
        <f t="shared" si="18"/>
        <v>1</v>
      </c>
      <c r="U68" s="18">
        <f t="shared" si="19"/>
        <v>1</v>
      </c>
      <c r="V68" s="18">
        <f t="shared" si="20"/>
        <v>1</v>
      </c>
      <c r="W68" s="18">
        <f t="shared" si="21"/>
        <v>1</v>
      </c>
      <c r="X68" s="18">
        <f t="shared" si="22"/>
        <v>1</v>
      </c>
      <c r="Y68" s="18">
        <f t="shared" si="23"/>
        <v>1</v>
      </c>
      <c r="Z68" s="18">
        <f t="shared" si="24"/>
        <v>1</v>
      </c>
      <c r="AA68" s="18">
        <f t="shared" si="25"/>
        <v>1</v>
      </c>
      <c r="AB68" s="18">
        <f t="shared" si="26"/>
        <v>1</v>
      </c>
      <c r="AC68" s="18">
        <f t="shared" si="27"/>
        <v>1</v>
      </c>
      <c r="AD68" s="18">
        <f t="shared" si="28"/>
        <v>1</v>
      </c>
    </row>
    <row r="69" spans="1:30" ht="20" customHeight="1">
      <c r="A69" s="9" t="s">
        <v>189</v>
      </c>
      <c r="B69" s="10" t="s">
        <v>20</v>
      </c>
      <c r="C69" s="11" t="s">
        <v>21</v>
      </c>
      <c r="D69" s="11" t="s">
        <v>122</v>
      </c>
      <c r="E69" s="12">
        <v>2</v>
      </c>
      <c r="F69" s="11" t="s">
        <v>23</v>
      </c>
      <c r="G69" s="11" t="s">
        <v>61</v>
      </c>
      <c r="H69" s="11" t="s">
        <v>115</v>
      </c>
      <c r="I69" s="11" t="s">
        <v>25</v>
      </c>
      <c r="J69" s="11" t="s">
        <v>54</v>
      </c>
      <c r="K69" s="11" t="s">
        <v>62</v>
      </c>
      <c r="L69" s="11" t="s">
        <v>73</v>
      </c>
      <c r="M69" s="11" t="s">
        <v>67</v>
      </c>
      <c r="N69" s="11" t="s">
        <v>134</v>
      </c>
      <c r="O69" s="11" t="s">
        <v>54</v>
      </c>
      <c r="P69" s="11" t="s">
        <v>57</v>
      </c>
      <c r="Q69" s="11" t="s">
        <v>44</v>
      </c>
      <c r="R69" s="11" t="s">
        <v>34</v>
      </c>
      <c r="S69" s="18">
        <f t="shared" si="17"/>
        <v>2</v>
      </c>
      <c r="T69" s="18">
        <f t="shared" si="18"/>
        <v>1</v>
      </c>
      <c r="U69" s="18">
        <f t="shared" si="19"/>
        <v>1</v>
      </c>
      <c r="V69" s="18">
        <f t="shared" si="20"/>
        <v>2</v>
      </c>
      <c r="W69" s="18">
        <f t="shared" si="21"/>
        <v>1</v>
      </c>
      <c r="X69" s="18">
        <f t="shared" si="22"/>
        <v>3</v>
      </c>
      <c r="Y69" s="18">
        <f t="shared" si="23"/>
        <v>1</v>
      </c>
      <c r="Z69" s="18">
        <f t="shared" si="24"/>
        <v>1</v>
      </c>
      <c r="AA69" s="18">
        <f t="shared" si="25"/>
        <v>1</v>
      </c>
      <c r="AB69" s="18">
        <f t="shared" si="26"/>
        <v>1</v>
      </c>
      <c r="AC69" s="18">
        <f t="shared" si="27"/>
        <v>1</v>
      </c>
      <c r="AD69" s="18">
        <f t="shared" si="28"/>
        <v>1</v>
      </c>
    </row>
    <row r="70" spans="1:30" ht="20" customHeight="1">
      <c r="A70" s="9" t="s">
        <v>190</v>
      </c>
      <c r="B70" s="10" t="s">
        <v>20</v>
      </c>
      <c r="C70" s="11" t="s">
        <v>21</v>
      </c>
      <c r="D70" s="11" t="s">
        <v>191</v>
      </c>
      <c r="E70" s="12">
        <v>3</v>
      </c>
      <c r="F70" s="11" t="s">
        <v>23</v>
      </c>
      <c r="G70" s="11" t="s">
        <v>61</v>
      </c>
      <c r="H70" s="11" t="s">
        <v>72</v>
      </c>
      <c r="I70" s="11" t="s">
        <v>39</v>
      </c>
      <c r="J70" s="11" t="s">
        <v>54</v>
      </c>
      <c r="K70" s="11" t="s">
        <v>55</v>
      </c>
      <c r="L70" s="11" t="s">
        <v>73</v>
      </c>
      <c r="M70" s="11" t="s">
        <v>67</v>
      </c>
      <c r="N70" s="11" t="s">
        <v>192</v>
      </c>
      <c r="O70" s="11" t="s">
        <v>49</v>
      </c>
      <c r="P70" s="11" t="s">
        <v>57</v>
      </c>
      <c r="Q70" s="11" t="s">
        <v>44</v>
      </c>
      <c r="R70" s="11" t="s">
        <v>34</v>
      </c>
      <c r="S70" s="18">
        <f t="shared" si="17"/>
        <v>2</v>
      </c>
      <c r="T70" s="18">
        <f t="shared" si="18"/>
        <v>1</v>
      </c>
      <c r="U70" s="18">
        <f t="shared" si="19"/>
        <v>1</v>
      </c>
      <c r="V70" s="18">
        <f t="shared" si="20"/>
        <v>3</v>
      </c>
      <c r="W70" s="18">
        <f t="shared" si="21"/>
        <v>1</v>
      </c>
      <c r="X70" s="18">
        <f t="shared" si="22"/>
        <v>3</v>
      </c>
      <c r="Y70" s="18">
        <f t="shared" si="23"/>
        <v>1</v>
      </c>
      <c r="Z70" s="18">
        <f t="shared" si="24"/>
        <v>1</v>
      </c>
      <c r="AA70" s="18">
        <f t="shared" si="25"/>
        <v>1</v>
      </c>
      <c r="AB70" s="18">
        <f t="shared" si="26"/>
        <v>1</v>
      </c>
      <c r="AC70" s="18">
        <f t="shared" si="27"/>
        <v>1</v>
      </c>
      <c r="AD70" s="18">
        <f t="shared" si="28"/>
        <v>1</v>
      </c>
    </row>
    <row r="71" spans="1:30" ht="20" customHeight="1">
      <c r="A71" s="9" t="s">
        <v>193</v>
      </c>
      <c r="B71" s="10" t="s">
        <v>20</v>
      </c>
      <c r="C71" s="11" t="s">
        <v>21</v>
      </c>
      <c r="D71" s="11" t="s">
        <v>122</v>
      </c>
      <c r="E71" s="11" t="s">
        <v>70</v>
      </c>
      <c r="F71" s="11" t="s">
        <v>23</v>
      </c>
      <c r="G71" s="11" t="s">
        <v>97</v>
      </c>
      <c r="H71" s="13"/>
      <c r="I71" s="11" t="s">
        <v>48</v>
      </c>
      <c r="J71" s="11" t="s">
        <v>49</v>
      </c>
      <c r="K71" s="11" t="s">
        <v>40</v>
      </c>
      <c r="L71" s="11" t="s">
        <v>73</v>
      </c>
      <c r="M71" s="11" t="s">
        <v>67</v>
      </c>
      <c r="N71" s="11" t="s">
        <v>63</v>
      </c>
      <c r="O71" s="11" t="s">
        <v>49</v>
      </c>
      <c r="P71" s="11" t="s">
        <v>57</v>
      </c>
      <c r="Q71" s="11" t="s">
        <v>58</v>
      </c>
      <c r="R71" s="11" t="s">
        <v>45</v>
      </c>
      <c r="S71" s="18">
        <f t="shared" si="17"/>
        <v>2</v>
      </c>
      <c r="T71" s="18">
        <f t="shared" si="18"/>
        <v>1</v>
      </c>
      <c r="U71" s="18">
        <f t="shared" si="19"/>
        <v>1</v>
      </c>
      <c r="V71" s="18">
        <f t="shared" si="20"/>
        <v>1</v>
      </c>
      <c r="W71" s="18">
        <f t="shared" si="21"/>
        <v>1</v>
      </c>
      <c r="X71" s="18">
        <f t="shared" si="22"/>
        <v>4</v>
      </c>
      <c r="Y71" s="18">
        <f t="shared" si="23"/>
        <v>1</v>
      </c>
      <c r="Z71" s="18">
        <f t="shared" si="24"/>
        <v>1</v>
      </c>
      <c r="AA71" s="18">
        <f t="shared" si="25"/>
        <v>1</v>
      </c>
      <c r="AB71" s="18">
        <f t="shared" si="26"/>
        <v>1</v>
      </c>
      <c r="AC71" s="18">
        <f t="shared" si="27"/>
        <v>1</v>
      </c>
      <c r="AD71" s="18">
        <f t="shared" si="28"/>
        <v>1</v>
      </c>
    </row>
    <row r="72" spans="1:30" ht="20" customHeight="1">
      <c r="A72" s="9" t="s">
        <v>194</v>
      </c>
      <c r="B72" s="10" t="s">
        <v>20</v>
      </c>
      <c r="C72" s="11" t="s">
        <v>21</v>
      </c>
      <c r="D72" s="11" t="s">
        <v>122</v>
      </c>
      <c r="E72" s="11" t="s">
        <v>70</v>
      </c>
      <c r="F72" s="11" t="s">
        <v>23</v>
      </c>
      <c r="G72" s="11" t="s">
        <v>37</v>
      </c>
      <c r="H72" s="13"/>
      <c r="I72" s="11" t="s">
        <v>39</v>
      </c>
      <c r="J72" s="11" t="s">
        <v>54</v>
      </c>
      <c r="K72" s="11" t="s">
        <v>27</v>
      </c>
      <c r="L72" s="11" t="s">
        <v>66</v>
      </c>
      <c r="M72" s="11" t="s">
        <v>29</v>
      </c>
      <c r="N72" s="11" t="s">
        <v>111</v>
      </c>
      <c r="O72" s="11" t="s">
        <v>54</v>
      </c>
      <c r="P72" s="11" t="s">
        <v>57</v>
      </c>
      <c r="Q72" s="11" t="s">
        <v>51</v>
      </c>
      <c r="R72" s="11" t="s">
        <v>45</v>
      </c>
      <c r="S72" s="18">
        <f t="shared" si="17"/>
        <v>2</v>
      </c>
      <c r="T72" s="18">
        <f t="shared" si="18"/>
        <v>1</v>
      </c>
      <c r="U72" s="18">
        <f t="shared" si="19"/>
        <v>1</v>
      </c>
      <c r="V72" s="18">
        <f t="shared" si="20"/>
        <v>1</v>
      </c>
      <c r="W72" s="18">
        <f t="shared" si="21"/>
        <v>1</v>
      </c>
      <c r="X72" s="18">
        <f t="shared" si="22"/>
        <v>1</v>
      </c>
      <c r="Y72" s="18">
        <f t="shared" si="23"/>
        <v>1</v>
      </c>
      <c r="Z72" s="18">
        <f t="shared" si="24"/>
        <v>1</v>
      </c>
      <c r="AA72" s="18">
        <f t="shared" si="25"/>
        <v>1</v>
      </c>
      <c r="AB72" s="18">
        <f t="shared" si="26"/>
        <v>1</v>
      </c>
      <c r="AC72" s="18">
        <f t="shared" si="27"/>
        <v>1</v>
      </c>
      <c r="AD72" s="18">
        <f t="shared" si="28"/>
        <v>1</v>
      </c>
    </row>
    <row r="73" spans="1:30" ht="20" customHeight="1">
      <c r="A73" s="9" t="s">
        <v>195</v>
      </c>
      <c r="B73" s="10" t="s">
        <v>172</v>
      </c>
      <c r="C73" s="11" t="s">
        <v>196</v>
      </c>
      <c r="D73" s="11" t="s">
        <v>169</v>
      </c>
      <c r="E73" s="11" t="s">
        <v>70</v>
      </c>
      <c r="F73" s="11" t="s">
        <v>23</v>
      </c>
      <c r="G73" s="11" t="s">
        <v>37</v>
      </c>
      <c r="H73" s="11" t="s">
        <v>197</v>
      </c>
      <c r="I73" s="11" t="s">
        <v>48</v>
      </c>
      <c r="J73" s="11" t="s">
        <v>49</v>
      </c>
      <c r="K73" s="11" t="s">
        <v>80</v>
      </c>
      <c r="L73" s="11" t="s">
        <v>41</v>
      </c>
      <c r="M73" s="11" t="s">
        <v>67</v>
      </c>
      <c r="N73" s="11" t="s">
        <v>78</v>
      </c>
      <c r="O73" s="11" t="s">
        <v>49</v>
      </c>
      <c r="P73" s="11" t="s">
        <v>57</v>
      </c>
      <c r="Q73" s="11" t="s">
        <v>78</v>
      </c>
      <c r="R73" s="11" t="s">
        <v>64</v>
      </c>
      <c r="S73" s="18">
        <f t="shared" si="17"/>
        <v>5</v>
      </c>
      <c r="T73" s="18">
        <f t="shared" si="18"/>
        <v>1</v>
      </c>
      <c r="U73" s="18">
        <f t="shared" si="19"/>
        <v>1</v>
      </c>
      <c r="V73" s="18">
        <f t="shared" si="20"/>
        <v>1</v>
      </c>
      <c r="W73" s="18">
        <f t="shared" si="21"/>
        <v>1</v>
      </c>
      <c r="X73" s="18">
        <f t="shared" si="22"/>
        <v>1</v>
      </c>
      <c r="Y73" s="18">
        <f t="shared" si="23"/>
        <v>1</v>
      </c>
      <c r="Z73" s="18">
        <f t="shared" si="24"/>
        <v>1</v>
      </c>
      <c r="AA73" s="18">
        <f t="shared" si="25"/>
        <v>1</v>
      </c>
      <c r="AB73" s="18">
        <f t="shared" si="26"/>
        <v>1</v>
      </c>
      <c r="AC73" s="18">
        <f t="shared" si="27"/>
        <v>1</v>
      </c>
      <c r="AD73" s="18">
        <f t="shared" si="28"/>
        <v>1</v>
      </c>
    </row>
    <row r="74" spans="1:30" ht="20" customHeight="1">
      <c r="A74" s="9" t="s">
        <v>198</v>
      </c>
      <c r="B74" s="10" t="s">
        <v>179</v>
      </c>
      <c r="C74" s="11" t="s">
        <v>21</v>
      </c>
      <c r="D74" s="11" t="s">
        <v>169</v>
      </c>
      <c r="E74" s="11" t="s">
        <v>70</v>
      </c>
      <c r="F74" s="11" t="s">
        <v>23</v>
      </c>
      <c r="G74" s="11" t="s">
        <v>37</v>
      </c>
      <c r="H74" s="13"/>
      <c r="I74" s="11" t="s">
        <v>25</v>
      </c>
      <c r="J74" s="11" t="s">
        <v>49</v>
      </c>
      <c r="K74" s="11" t="s">
        <v>80</v>
      </c>
      <c r="L74" s="11" t="s">
        <v>92</v>
      </c>
      <c r="M74" s="11" t="s">
        <v>29</v>
      </c>
      <c r="N74" s="11" t="s">
        <v>116</v>
      </c>
      <c r="O74" s="11" t="s">
        <v>49</v>
      </c>
      <c r="P74" s="11" t="s">
        <v>43</v>
      </c>
      <c r="Q74" s="11" t="s">
        <v>127</v>
      </c>
      <c r="R74" s="11" t="s">
        <v>34</v>
      </c>
      <c r="S74" s="18">
        <f t="shared" si="17"/>
        <v>4</v>
      </c>
      <c r="T74" s="18">
        <f t="shared" si="18"/>
        <v>1</v>
      </c>
      <c r="U74" s="18">
        <f t="shared" si="19"/>
        <v>1</v>
      </c>
      <c r="V74" s="18">
        <f t="shared" si="20"/>
        <v>1</v>
      </c>
      <c r="W74" s="18">
        <f t="shared" si="21"/>
        <v>1</v>
      </c>
      <c r="X74" s="18">
        <f t="shared" si="22"/>
        <v>1</v>
      </c>
      <c r="Y74" s="18">
        <f t="shared" si="23"/>
        <v>1</v>
      </c>
      <c r="Z74" s="18">
        <f t="shared" si="24"/>
        <v>1</v>
      </c>
      <c r="AA74" s="18">
        <f t="shared" si="25"/>
        <v>1</v>
      </c>
      <c r="AB74" s="18">
        <f t="shared" si="26"/>
        <v>1</v>
      </c>
      <c r="AC74" s="18">
        <f t="shared" si="27"/>
        <v>1</v>
      </c>
      <c r="AD74" s="18">
        <f t="shared" si="28"/>
        <v>1</v>
      </c>
    </row>
  </sheetData>
  <pageMargins left="1" right="1" top="1" bottom="1" header="0.25" footer="0.25"/>
  <pageSetup orientation="portrait"/>
  <headerFooter>
    <oddFooter>&amp;C&amp;"Helvetica Neue,Regular"&amp;12&amp;K000000&amp;P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76EE0-2AEC-8848-BD77-1D5C684E1F4F}">
  <dimension ref="B4:H20"/>
  <sheetViews>
    <sheetView topLeftCell="A8" workbookViewId="0">
      <selection activeCell="C16" sqref="C16"/>
    </sheetView>
  </sheetViews>
  <sheetFormatPr baseColWidth="10" defaultRowHeight="13"/>
  <sheetData>
    <row r="4" spans="2:8" ht="42">
      <c r="B4" s="15" t="s">
        <v>199</v>
      </c>
      <c r="C4" s="15" t="s">
        <v>200</v>
      </c>
      <c r="D4" s="15" t="s">
        <v>201</v>
      </c>
      <c r="E4" s="15" t="s">
        <v>202</v>
      </c>
      <c r="F4" s="15" t="s">
        <v>203</v>
      </c>
      <c r="G4" s="15" t="s">
        <v>204</v>
      </c>
      <c r="H4" s="15" t="s">
        <v>205</v>
      </c>
    </row>
    <row r="5" spans="2:8" ht="28">
      <c r="B5" s="15" t="s">
        <v>200</v>
      </c>
      <c r="C5" s="16">
        <v>1</v>
      </c>
      <c r="D5" s="16" t="s">
        <v>206</v>
      </c>
      <c r="E5" s="16">
        <v>0.11799999999999999</v>
      </c>
      <c r="F5" s="16">
        <v>0.159</v>
      </c>
      <c r="G5" s="16">
        <v>-0.1</v>
      </c>
      <c r="H5" s="16">
        <v>0.121</v>
      </c>
    </row>
    <row r="6" spans="2:8" ht="42">
      <c r="B6" s="15" t="s">
        <v>201</v>
      </c>
      <c r="C6" s="16" t="s">
        <v>206</v>
      </c>
      <c r="D6" s="16">
        <v>1</v>
      </c>
      <c r="E6" s="16" t="s">
        <v>207</v>
      </c>
      <c r="F6" s="16" t="s">
        <v>208</v>
      </c>
      <c r="G6" s="16">
        <v>6.0999999999999999E-2</v>
      </c>
      <c r="H6" s="16" t="s">
        <v>209</v>
      </c>
    </row>
    <row r="7" spans="2:8" ht="28">
      <c r="B7" s="15" t="s">
        <v>202</v>
      </c>
      <c r="C7" s="16">
        <v>0.11799999999999999</v>
      </c>
      <c r="D7" s="16" t="s">
        <v>207</v>
      </c>
      <c r="E7" s="16">
        <v>1</v>
      </c>
      <c r="F7" s="16" t="s">
        <v>210</v>
      </c>
      <c r="G7" s="16">
        <v>-0.15</v>
      </c>
      <c r="H7" s="16" t="s">
        <v>211</v>
      </c>
    </row>
    <row r="8" spans="2:8" ht="28">
      <c r="B8" s="15" t="s">
        <v>203</v>
      </c>
      <c r="C8" s="16">
        <v>0.159</v>
      </c>
      <c r="D8" s="16" t="s">
        <v>208</v>
      </c>
      <c r="E8" s="16" t="s">
        <v>210</v>
      </c>
      <c r="F8" s="16">
        <v>1</v>
      </c>
      <c r="G8" s="16">
        <v>-5.2999999999999999E-2</v>
      </c>
      <c r="H8" s="16" t="s">
        <v>212</v>
      </c>
    </row>
    <row r="9" spans="2:8" ht="28">
      <c r="B9" s="15" t="s">
        <v>204</v>
      </c>
      <c r="C9" s="16">
        <v>-0.1</v>
      </c>
      <c r="D9" s="16">
        <v>6.0999999999999999E-2</v>
      </c>
      <c r="E9" s="16">
        <v>-0.15</v>
      </c>
      <c r="F9" s="16">
        <v>-5.2999999999999999E-2</v>
      </c>
      <c r="G9" s="16">
        <v>1</v>
      </c>
      <c r="H9" s="16">
        <v>6.0000000000000001E-3</v>
      </c>
    </row>
    <row r="10" spans="2:8" ht="42">
      <c r="B10" s="15" t="s">
        <v>205</v>
      </c>
      <c r="C10" s="16">
        <v>0.121</v>
      </c>
      <c r="D10" s="16" t="s">
        <v>209</v>
      </c>
      <c r="E10" s="16" t="s">
        <v>211</v>
      </c>
      <c r="F10" s="16" t="s">
        <v>212</v>
      </c>
      <c r="G10" s="16">
        <v>6.0000000000000001E-3</v>
      </c>
      <c r="H10" s="16">
        <v>1</v>
      </c>
    </row>
    <row r="14" spans="2:8" ht="42">
      <c r="B14" s="15" t="s">
        <v>213</v>
      </c>
      <c r="C14" s="15" t="s">
        <v>214</v>
      </c>
      <c r="D14" s="15" t="s">
        <v>215</v>
      </c>
    </row>
    <row r="15" spans="2:8" ht="126">
      <c r="B15" s="15" t="s">
        <v>216</v>
      </c>
      <c r="C15" s="17" t="s">
        <v>217</v>
      </c>
      <c r="D15" s="16" t="s">
        <v>218</v>
      </c>
    </row>
    <row r="16" spans="2:8" ht="98">
      <c r="B16" s="15" t="s">
        <v>219</v>
      </c>
      <c r="C16" s="17" t="s">
        <v>220</v>
      </c>
      <c r="D16" s="16" t="s">
        <v>221</v>
      </c>
    </row>
    <row r="17" spans="2:4" ht="112">
      <c r="B17" s="15" t="s">
        <v>222</v>
      </c>
      <c r="C17" s="17" t="s">
        <v>223</v>
      </c>
      <c r="D17" s="16" t="s">
        <v>224</v>
      </c>
    </row>
    <row r="18" spans="2:4" ht="70">
      <c r="B18" s="15" t="s">
        <v>225</v>
      </c>
      <c r="C18" s="17" t="s">
        <v>226</v>
      </c>
      <c r="D18" s="16" t="s">
        <v>227</v>
      </c>
    </row>
    <row r="19" spans="2:4" ht="98">
      <c r="B19" s="15" t="s">
        <v>228</v>
      </c>
      <c r="C19" s="17" t="s">
        <v>229</v>
      </c>
      <c r="D19" s="16" t="s">
        <v>230</v>
      </c>
    </row>
    <row r="20" spans="2:4" ht="126">
      <c r="B20" s="15" t="s">
        <v>231</v>
      </c>
      <c r="C20" s="17" t="s">
        <v>232</v>
      </c>
      <c r="D20" s="16" t="s">
        <v>233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Raw Data</vt:lpstr>
      <vt:lpstr>Raw Data (2)</vt:lpstr>
      <vt:lpstr>Correlation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Zachary Belgum</cp:lastModifiedBy>
  <dcterms:modified xsi:type="dcterms:W3CDTF">2026-03-07T15:35:34Z</dcterms:modified>
</cp:coreProperties>
</file>